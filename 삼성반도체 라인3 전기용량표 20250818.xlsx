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2.한화 모멘텀\검토_202501 한화모멘텀 전고체 전지용 Cyclone powder CVD\7.최종파일\"/>
    </mc:Choice>
  </mc:AlternateContent>
  <xr:revisionPtr revIDLastSave="0" documentId="13_ncr:1_{B150A9BA-3955-44D3-89C8-B9A5E8E73F40}" xr6:coauthVersionLast="47" xr6:coauthVersionMax="47" xr10:uidLastSave="{00000000-0000-0000-0000-000000000000}"/>
  <bookViews>
    <workbookView xWindow="-120" yWindow="-120" windowWidth="29040" windowHeight="15720" activeTab="1" xr2:uid="{6122FC0D-BE33-43DC-B458-22D46AAD348A}"/>
  </bookViews>
  <sheets>
    <sheet name="History" sheetId="2" r:id="rId1"/>
    <sheet name="전기용량표" sheetId="1" r:id="rId2"/>
    <sheet name="PLC 구성도" sheetId="4" r:id="rId3"/>
    <sheet name="IO list" sheetId="5" r:id="rId4"/>
  </sheets>
  <definedNames>
    <definedName name="_xlnm.Print_Area" localSheetId="1">전기용량표!$B$2:$AE$50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7" i="5"/>
  <c r="N10" i="5"/>
  <c r="N5" i="5"/>
  <c r="N6" i="5"/>
  <c r="N15" i="5"/>
  <c r="N12" i="5"/>
  <c r="N9" i="5"/>
  <c r="N13" i="5"/>
  <c r="N14" i="5"/>
  <c r="N11" i="5"/>
  <c r="Y17" i="1" l="1"/>
  <c r="Z17" i="1" s="1"/>
  <c r="AB17" i="1"/>
  <c r="AC17" i="1"/>
  <c r="AD17" i="1"/>
  <c r="AE17" i="1"/>
  <c r="Y18" i="1"/>
  <c r="AA18" i="1" s="1"/>
  <c r="Z18" i="1"/>
  <c r="AB18" i="1"/>
  <c r="AC18" i="1"/>
  <c r="AD18" i="1"/>
  <c r="AE18" i="1"/>
  <c r="Y19" i="1"/>
  <c r="Z19" i="1"/>
  <c r="AA19" i="1"/>
  <c r="AB19" i="1"/>
  <c r="AC19" i="1"/>
  <c r="AD19" i="1"/>
  <c r="AE19" i="1"/>
  <c r="Y20" i="1"/>
  <c r="Z20" i="1" s="1"/>
  <c r="AA20" i="1"/>
  <c r="AB20" i="1"/>
  <c r="AC20" i="1"/>
  <c r="AD20" i="1"/>
  <c r="AE20" i="1"/>
  <c r="Y21" i="1"/>
  <c r="Z21" i="1" s="1"/>
  <c r="AB21" i="1"/>
  <c r="AC21" i="1"/>
  <c r="AD21" i="1"/>
  <c r="AE21" i="1"/>
  <c r="Y22" i="1"/>
  <c r="Z22" i="1"/>
  <c r="AA22" i="1"/>
  <c r="AB22" i="1"/>
  <c r="AC22" i="1"/>
  <c r="AD22" i="1"/>
  <c r="AE22" i="1"/>
  <c r="Y23" i="1"/>
  <c r="Z23" i="1"/>
  <c r="AA23" i="1"/>
  <c r="AB23" i="1"/>
  <c r="AC23" i="1"/>
  <c r="AD23" i="1"/>
  <c r="AE23" i="1"/>
  <c r="Y24" i="1"/>
  <c r="Z24" i="1"/>
  <c r="AA24" i="1"/>
  <c r="AB24" i="1"/>
  <c r="AC24" i="1"/>
  <c r="AD24" i="1"/>
  <c r="AE24" i="1"/>
  <c r="Y25" i="1"/>
  <c r="Z25" i="1"/>
  <c r="AA25" i="1"/>
  <c r="AB25" i="1"/>
  <c r="AC25" i="1"/>
  <c r="AD25" i="1"/>
  <c r="AE25" i="1"/>
  <c r="Y26" i="1"/>
  <c r="Z26" i="1"/>
  <c r="AA26" i="1"/>
  <c r="AB26" i="1"/>
  <c r="AC26" i="1"/>
  <c r="AD26" i="1"/>
  <c r="AE26" i="1"/>
  <c r="Y27" i="1"/>
  <c r="Z27" i="1"/>
  <c r="AA27" i="1"/>
  <c r="AB27" i="1"/>
  <c r="AC27" i="1"/>
  <c r="AD27" i="1"/>
  <c r="AE27" i="1"/>
  <c r="Y28" i="1"/>
  <c r="Z28" i="1"/>
  <c r="AA28" i="1"/>
  <c r="AB28" i="1"/>
  <c r="AC28" i="1"/>
  <c r="AD28" i="1"/>
  <c r="AE28" i="1"/>
  <c r="Y29" i="1"/>
  <c r="Z29" i="1"/>
  <c r="AA29" i="1"/>
  <c r="AB29" i="1"/>
  <c r="AC29" i="1"/>
  <c r="AD29" i="1"/>
  <c r="AE29" i="1"/>
  <c r="Y30" i="1"/>
  <c r="Z30" i="1"/>
  <c r="AA30" i="1"/>
  <c r="AB30" i="1"/>
  <c r="AC30" i="1"/>
  <c r="AD30" i="1"/>
  <c r="AE30" i="1"/>
  <c r="Y31" i="1"/>
  <c r="AA31" i="1" s="1"/>
  <c r="Z31" i="1"/>
  <c r="AB31" i="1" s="1"/>
  <c r="AD31" i="1"/>
  <c r="AE31" i="1"/>
  <c r="Y32" i="1"/>
  <c r="Z32" i="1"/>
  <c r="AC32" i="1" s="1"/>
  <c r="AA32" i="1"/>
  <c r="AB32" i="1"/>
  <c r="AD32" i="1"/>
  <c r="AE32" i="1"/>
  <c r="Y33" i="1"/>
  <c r="Z33" i="1"/>
  <c r="AA33" i="1"/>
  <c r="AB33" i="1"/>
  <c r="AC33" i="1"/>
  <c r="AD33" i="1"/>
  <c r="AE33" i="1"/>
  <c r="Y34" i="1"/>
  <c r="Z34" i="1" s="1"/>
  <c r="AB34" i="1"/>
  <c r="AC34" i="1"/>
  <c r="AD34" i="1"/>
  <c r="AE34" i="1"/>
  <c r="Y35" i="1"/>
  <c r="Z35" i="1"/>
  <c r="AA35" i="1"/>
  <c r="AB35" i="1"/>
  <c r="AC35" i="1"/>
  <c r="AD35" i="1"/>
  <c r="AE35" i="1"/>
  <c r="Y36" i="1"/>
  <c r="Z36" i="1"/>
  <c r="AA36" i="1"/>
  <c r="AB36" i="1"/>
  <c r="AC36" i="1"/>
  <c r="AD36" i="1"/>
  <c r="AE36" i="1"/>
  <c r="Y37" i="1"/>
  <c r="Z37" i="1" s="1"/>
  <c r="AB37" i="1"/>
  <c r="AC37" i="1"/>
  <c r="AD37" i="1"/>
  <c r="AE37" i="1"/>
  <c r="Y38" i="1"/>
  <c r="AA38" i="1" s="1"/>
  <c r="Z38" i="1"/>
  <c r="AB38" i="1"/>
  <c r="AC38" i="1"/>
  <c r="AD38" i="1"/>
  <c r="AE38" i="1"/>
  <c r="Y39" i="1"/>
  <c r="Z39" i="1"/>
  <c r="AA39" i="1"/>
  <c r="AB39" i="1"/>
  <c r="AC39" i="1"/>
  <c r="AD39" i="1"/>
  <c r="AE39" i="1"/>
  <c r="Y40" i="1"/>
  <c r="Z40" i="1" s="1"/>
  <c r="AA40" i="1"/>
  <c r="AB40" i="1"/>
  <c r="AC40" i="1"/>
  <c r="AD40" i="1"/>
  <c r="AE40" i="1"/>
  <c r="Y41" i="1"/>
  <c r="Z41" i="1" s="1"/>
  <c r="AB41" i="1"/>
  <c r="AC41" i="1"/>
  <c r="AD41" i="1"/>
  <c r="AE41" i="1"/>
  <c r="Y42" i="1"/>
  <c r="Z42" i="1"/>
  <c r="AA42" i="1"/>
  <c r="AB42" i="1"/>
  <c r="AC42" i="1"/>
  <c r="AD42" i="1"/>
  <c r="AE42" i="1"/>
  <c r="Y43" i="1"/>
  <c r="Z43" i="1"/>
  <c r="AA43" i="1"/>
  <c r="AB43" i="1"/>
  <c r="AC43" i="1"/>
  <c r="AD43" i="1"/>
  <c r="AE43" i="1"/>
  <c r="Y44" i="1"/>
  <c r="Z44" i="1"/>
  <c r="AA44" i="1"/>
  <c r="AB44" i="1"/>
  <c r="AC44" i="1"/>
  <c r="AD44" i="1"/>
  <c r="AE44" i="1"/>
  <c r="Y45" i="1"/>
  <c r="Z45" i="1"/>
  <c r="AA45" i="1"/>
  <c r="AB45" i="1"/>
  <c r="AC45" i="1"/>
  <c r="AD45" i="1"/>
  <c r="AE45" i="1"/>
  <c r="Y46" i="1"/>
  <c r="Z46" i="1"/>
  <c r="AA46" i="1"/>
  <c r="AB46" i="1"/>
  <c r="AC46" i="1"/>
  <c r="AD46" i="1"/>
  <c r="AE46" i="1"/>
  <c r="Y47" i="1"/>
  <c r="Z47" i="1"/>
  <c r="AA47" i="1"/>
  <c r="AB47" i="1"/>
  <c r="AC47" i="1"/>
  <c r="AD47" i="1"/>
  <c r="AE47" i="1"/>
  <c r="Y48" i="1"/>
  <c r="Z48" i="1"/>
  <c r="AA48" i="1"/>
  <c r="AB48" i="1"/>
  <c r="AC48" i="1"/>
  <c r="AD48" i="1"/>
  <c r="AE48" i="1"/>
  <c r="Y12" i="1"/>
  <c r="Z12" i="1" s="1"/>
  <c r="AB12" i="1"/>
  <c r="AC12" i="1"/>
  <c r="AD12" i="1"/>
  <c r="AE12" i="1"/>
  <c r="Y13" i="1"/>
  <c r="Z13" i="1" s="1"/>
  <c r="AB13" i="1"/>
  <c r="AC13" i="1"/>
  <c r="AD13" i="1"/>
  <c r="AE13" i="1"/>
  <c r="Y14" i="1"/>
  <c r="Z14" i="1" s="1"/>
  <c r="AA14" i="1"/>
  <c r="AB14" i="1"/>
  <c r="AC14" i="1"/>
  <c r="AD14" i="1"/>
  <c r="AE14" i="1"/>
  <c r="Y15" i="1"/>
  <c r="AA15" i="1" s="1"/>
  <c r="Z15" i="1"/>
  <c r="AB15" i="1" s="1"/>
  <c r="AD15" i="1"/>
  <c r="AE15" i="1"/>
  <c r="Y16" i="1"/>
  <c r="Z16" i="1" s="1"/>
  <c r="AB16" i="1"/>
  <c r="AC16" i="1"/>
  <c r="AD16" i="1"/>
  <c r="AE16" i="1"/>
  <c r="AA41" i="1" l="1"/>
  <c r="AA21" i="1"/>
  <c r="AA37" i="1"/>
  <c r="AC31" i="1"/>
  <c r="AA17" i="1"/>
  <c r="AA34" i="1"/>
  <c r="AA16" i="1"/>
  <c r="AA12" i="1"/>
  <c r="AC15" i="1"/>
  <c r="AA13" i="1"/>
  <c r="Y9" i="1"/>
  <c r="Z9" i="1" s="1"/>
  <c r="AB9" i="1"/>
  <c r="AC9" i="1"/>
  <c r="AD9" i="1"/>
  <c r="AE9" i="1"/>
  <c r="Y10" i="1"/>
  <c r="Z10" i="1" s="1"/>
  <c r="AB10" i="1"/>
  <c r="AC10" i="1"/>
  <c r="AD10" i="1"/>
  <c r="AE10" i="1"/>
  <c r="Y11" i="1"/>
  <c r="Z11" i="1" s="1"/>
  <c r="AB11" i="1"/>
  <c r="AC11" i="1"/>
  <c r="AD11" i="1"/>
  <c r="AE11" i="1"/>
  <c r="AE8" i="1"/>
  <c r="AD8" i="1"/>
  <c r="AC8" i="1"/>
  <c r="AB8" i="1"/>
  <c r="Y8" i="1"/>
  <c r="AA8" i="1" s="1"/>
  <c r="AA11" i="1" l="1"/>
  <c r="AA9" i="1"/>
  <c r="AA10" i="1"/>
  <c r="Z8" i="1"/>
  <c r="AE5" i="1" l="1"/>
  <c r="Y5" i="1" l="1"/>
  <c r="AA5" i="1" l="1"/>
  <c r="Z5" i="1"/>
  <c r="AC5" i="1"/>
  <c r="AB5" i="1"/>
  <c r="AD5" i="1"/>
  <c r="AA7" i="1" l="1"/>
</calcChain>
</file>

<file path=xl/sharedStrings.xml><?xml version="1.0" encoding="utf-8"?>
<sst xmlns="http://schemas.openxmlformats.org/spreadsheetml/2006/main" count="636" uniqueCount="481">
  <si>
    <t>DESCRIPTION</t>
  </si>
  <si>
    <t>NOTE</t>
    <phoneticPr fontId="3" type="noConversion"/>
  </si>
  <si>
    <t>V</t>
    <phoneticPr fontId="3" type="noConversion"/>
  </si>
  <si>
    <t>Phase</t>
    <phoneticPr fontId="3" type="noConversion"/>
  </si>
  <si>
    <t>Multiplier</t>
    <phoneticPr fontId="8" type="noConversion"/>
  </si>
  <si>
    <t>상분리</t>
    <phoneticPr fontId="3" type="noConversion"/>
  </si>
  <si>
    <t>W</t>
    <phoneticPr fontId="3" type="noConversion"/>
  </si>
  <si>
    <t>A(Load)</t>
    <phoneticPr fontId="3" type="noConversion"/>
  </si>
  <si>
    <t>A(차단기)</t>
    <phoneticPr fontId="3" type="noConversion"/>
  </si>
  <si>
    <t>R</t>
    <phoneticPr fontId="3" type="noConversion"/>
  </si>
  <si>
    <t>S</t>
    <phoneticPr fontId="3" type="noConversion"/>
  </si>
  <si>
    <t>T</t>
    <phoneticPr fontId="3" type="noConversion"/>
  </si>
  <si>
    <t>N</t>
    <phoneticPr fontId="3" type="noConversion"/>
  </si>
  <si>
    <t>A</t>
    <phoneticPr fontId="8" type="noConversion"/>
  </si>
  <si>
    <t>GPS 208V 3Phase</t>
    <phoneticPr fontId="8" type="noConversion"/>
  </si>
  <si>
    <t>TATAL</t>
    <phoneticPr fontId="3" type="noConversion"/>
  </si>
  <si>
    <t>실사용량(최대전력 * 0.5)</t>
    <phoneticPr fontId="3" type="noConversion"/>
  </si>
  <si>
    <t>상 전류 불평등률</t>
    <phoneticPr fontId="3" type="noConversion"/>
  </si>
  <si>
    <t>MAIN_PANEL</t>
    <phoneticPr fontId="3" type="noConversion"/>
  </si>
  <si>
    <t>MC1st</t>
    <phoneticPr fontId="3" type="noConversion"/>
  </si>
  <si>
    <t>FL, FAN POWER</t>
    <phoneticPr fontId="3" type="noConversion"/>
  </si>
  <si>
    <t>RS</t>
    <phoneticPr fontId="3" type="noConversion"/>
  </si>
  <si>
    <t>PL</t>
    <phoneticPr fontId="3" type="noConversion"/>
  </si>
  <si>
    <t>TC4S-24N</t>
    <phoneticPr fontId="3" type="noConversion"/>
  </si>
  <si>
    <t>MC2nd</t>
    <phoneticPr fontId="3" type="noConversion"/>
  </si>
  <si>
    <t>ST</t>
    <phoneticPr fontId="3" type="noConversion"/>
  </si>
  <si>
    <t>RT</t>
    <phoneticPr fontId="3" type="noConversion"/>
  </si>
  <si>
    <t>한화 모멘텀 // 파우더CVD 전기 용량표</t>
    <phoneticPr fontId="3" type="noConversion"/>
  </si>
  <si>
    <t>Dry pump</t>
    <phoneticPr fontId="3" type="noConversion"/>
  </si>
  <si>
    <t>MS1200A</t>
    <phoneticPr fontId="3" type="noConversion"/>
  </si>
  <si>
    <t>Hooper/feeder</t>
    <phoneticPr fontId="3" type="noConversion"/>
  </si>
  <si>
    <t>Bag filter</t>
    <phoneticPr fontId="3" type="noConversion"/>
  </si>
  <si>
    <t>집진기1</t>
    <phoneticPr fontId="3" type="noConversion"/>
  </si>
  <si>
    <t>집진기2</t>
  </si>
  <si>
    <t>클린부스</t>
    <phoneticPr fontId="3" type="noConversion"/>
  </si>
  <si>
    <t>저스템2공장 Main_Panel</t>
    <phoneticPr fontId="3" type="noConversion"/>
  </si>
  <si>
    <t>Breaker maker</t>
    <phoneticPr fontId="3" type="noConversion"/>
  </si>
  <si>
    <t>Contorller maker</t>
    <phoneticPr fontId="3" type="noConversion"/>
  </si>
  <si>
    <t>220V 2.5Sqmm 날선 2개 연결 콘센트 스페어 있음</t>
    <phoneticPr fontId="3" type="noConversion"/>
  </si>
  <si>
    <t>Temp controller</t>
    <phoneticPr fontId="3" type="noConversion"/>
  </si>
  <si>
    <t>Power monitor</t>
    <phoneticPr fontId="3" type="noConversion"/>
  </si>
  <si>
    <t>Autonics</t>
    <phoneticPr fontId="3" type="noConversion"/>
  </si>
  <si>
    <t>Ulvac</t>
    <phoneticPr fontId="3" type="noConversion"/>
  </si>
  <si>
    <t>Breaker DT</t>
    <phoneticPr fontId="3" type="noConversion"/>
  </si>
  <si>
    <t>Controller DT</t>
    <phoneticPr fontId="3" type="noConversion"/>
  </si>
  <si>
    <t>Breaker model</t>
    <phoneticPr fontId="3" type="noConversion"/>
  </si>
  <si>
    <t>Contorller model</t>
    <phoneticPr fontId="3" type="noConversion"/>
  </si>
  <si>
    <t>유량계</t>
    <phoneticPr fontId="3" type="noConversion"/>
  </si>
  <si>
    <t>진공 센서</t>
    <phoneticPr fontId="3" type="noConversion"/>
  </si>
  <si>
    <t>HVG-12020A</t>
    <phoneticPr fontId="3" type="noConversion"/>
  </si>
  <si>
    <t>inforad</t>
    <phoneticPr fontId="3" type="noConversion"/>
  </si>
  <si>
    <t>Load model</t>
    <phoneticPr fontId="3" type="noConversion"/>
  </si>
  <si>
    <t>Load DT</t>
    <phoneticPr fontId="3" type="noConversion"/>
  </si>
  <si>
    <t>Load maker</t>
    <phoneticPr fontId="3" type="noConversion"/>
  </si>
  <si>
    <t>PLC Power</t>
    <phoneticPr fontId="3" type="noConversion"/>
  </si>
  <si>
    <t>Mitsubishi</t>
    <phoneticPr fontId="3" type="noConversion"/>
  </si>
  <si>
    <t>Q63P</t>
    <phoneticPr fontId="3" type="noConversion"/>
  </si>
  <si>
    <t>Safety Power</t>
    <phoneticPr fontId="3" type="noConversion"/>
  </si>
  <si>
    <t>Pliz</t>
    <phoneticPr fontId="3" type="noConversion"/>
  </si>
  <si>
    <t>PNOZ s3 24VDC 2n/o</t>
    <phoneticPr fontId="3" type="noConversion"/>
  </si>
  <si>
    <t>UNO2-PS/1AC/24DC/120W</t>
    <phoneticPr fontId="3" type="noConversion"/>
  </si>
  <si>
    <t>UNO2-PS/1AC/24DC/240W</t>
    <phoneticPr fontId="3" type="noConversion"/>
  </si>
  <si>
    <t>GCP-32ANM1A</t>
    <phoneticPr fontId="3" type="noConversion"/>
  </si>
  <si>
    <t>GCP-32ANM2A</t>
  </si>
  <si>
    <t>GCP-32ANM3A</t>
    <phoneticPr fontId="3" type="noConversion"/>
  </si>
  <si>
    <t>Honeywell</t>
  </si>
  <si>
    <t>Honeywell</t>
    <phoneticPr fontId="3" type="noConversion"/>
  </si>
  <si>
    <t>Phoenix contact</t>
  </si>
  <si>
    <t>Phoenix contact</t>
    <phoneticPr fontId="3" type="noConversion"/>
  </si>
  <si>
    <t>GT-800</t>
    <phoneticPr fontId="3" type="noConversion"/>
  </si>
  <si>
    <t>Genius</t>
    <phoneticPr fontId="3" type="noConversion"/>
  </si>
  <si>
    <t>XTB-COM18T</t>
  </si>
  <si>
    <t>XTB-COM18T</t>
    <phoneticPr fontId="3" type="noConversion"/>
  </si>
  <si>
    <t>Samwon ACT</t>
  </si>
  <si>
    <t>Samwon ACT</t>
    <phoneticPr fontId="3" type="noConversion"/>
  </si>
  <si>
    <t>Mitsubishi</t>
  </si>
  <si>
    <t>GT2710-STBD</t>
  </si>
  <si>
    <t>DC Power</t>
    <phoneticPr fontId="3" type="noConversion"/>
  </si>
  <si>
    <t>DC Actuator</t>
    <phoneticPr fontId="3" type="noConversion"/>
  </si>
  <si>
    <t>UNO2-PS/1AC/24DC/480W</t>
    <phoneticPr fontId="3" type="noConversion"/>
  </si>
  <si>
    <t>GCP-32ANM10A</t>
    <phoneticPr fontId="3" type="noConversion"/>
  </si>
  <si>
    <t>ABS32C/20A</t>
    <phoneticPr fontId="3" type="noConversion"/>
  </si>
  <si>
    <t>ABS32C/15A</t>
    <phoneticPr fontId="3" type="noConversion"/>
  </si>
  <si>
    <t>220V VCTF 2.5Sqmm*3C 날선 2개 연결 // 콘센트 스페어 있음</t>
    <phoneticPr fontId="3" type="noConversion"/>
  </si>
  <si>
    <t>G1.CP1</t>
  </si>
  <si>
    <t>G1.SMPS1</t>
  </si>
  <si>
    <t>G1.LMT1</t>
    <phoneticPr fontId="3" type="noConversion"/>
  </si>
  <si>
    <t>KH-9015-HRL</t>
    <phoneticPr fontId="3" type="noConversion"/>
  </si>
  <si>
    <t>Koino</t>
    <phoneticPr fontId="3" type="noConversion"/>
  </si>
  <si>
    <t>11938KA-24L-EL</t>
    <phoneticPr fontId="3" type="noConversion"/>
  </si>
  <si>
    <t>NMB</t>
    <phoneticPr fontId="3" type="noConversion"/>
  </si>
  <si>
    <t>G1.FAN1</t>
    <phoneticPr fontId="3" type="noConversion"/>
  </si>
  <si>
    <t>G1.FAN2</t>
  </si>
  <si>
    <t>QELT-300-24</t>
    <phoneticPr fontId="3" type="noConversion"/>
  </si>
  <si>
    <t>Q-Light</t>
    <phoneticPr fontId="3" type="noConversion"/>
  </si>
  <si>
    <t>G1.FL1</t>
    <phoneticPr fontId="3" type="noConversion"/>
  </si>
  <si>
    <t>KGP-JV2W</t>
    <phoneticPr fontId="3" type="noConversion"/>
  </si>
  <si>
    <t>KG Auto</t>
    <phoneticPr fontId="3" type="noConversion"/>
  </si>
  <si>
    <t>G1.CP2</t>
    <phoneticPr fontId="3" type="noConversion"/>
  </si>
  <si>
    <t>G1.CP3</t>
    <phoneticPr fontId="3" type="noConversion"/>
  </si>
  <si>
    <t>G1.CP4</t>
    <phoneticPr fontId="3" type="noConversion"/>
  </si>
  <si>
    <t>G1.CP11</t>
    <phoneticPr fontId="3" type="noConversion"/>
  </si>
  <si>
    <t>G1.CP12</t>
    <phoneticPr fontId="3" type="noConversion"/>
  </si>
  <si>
    <t>G1.MCCB11</t>
    <phoneticPr fontId="3" type="noConversion"/>
  </si>
  <si>
    <t>ABS33C/30A</t>
    <phoneticPr fontId="3" type="noConversion"/>
  </si>
  <si>
    <t>LSE</t>
  </si>
  <si>
    <t>LSE</t>
    <phoneticPr fontId="3" type="noConversion"/>
  </si>
  <si>
    <t>G1.MCCB12</t>
    <phoneticPr fontId="3" type="noConversion"/>
  </si>
  <si>
    <t>G1.MCCB1</t>
    <phoneticPr fontId="3" type="noConversion"/>
  </si>
  <si>
    <t>ABS53c/50A</t>
    <phoneticPr fontId="3" type="noConversion"/>
  </si>
  <si>
    <t>G1.CP21</t>
    <phoneticPr fontId="3" type="noConversion"/>
  </si>
  <si>
    <t>G1.CP22</t>
    <phoneticPr fontId="3" type="noConversion"/>
  </si>
  <si>
    <t>G1.SMPS21</t>
    <phoneticPr fontId="3" type="noConversion"/>
  </si>
  <si>
    <t>G1.SMPS22</t>
    <phoneticPr fontId="3" type="noConversion"/>
  </si>
  <si>
    <t>G1.CP31</t>
    <phoneticPr fontId="3" type="noConversion"/>
  </si>
  <si>
    <t>G1.CP32</t>
    <phoneticPr fontId="3" type="noConversion"/>
  </si>
  <si>
    <t>G1.CP33</t>
    <phoneticPr fontId="3" type="noConversion"/>
  </si>
  <si>
    <t>G1.CP34</t>
    <phoneticPr fontId="3" type="noConversion"/>
  </si>
  <si>
    <t>G1.CP35</t>
    <phoneticPr fontId="3" type="noConversion"/>
  </si>
  <si>
    <t>G1.SMPS31</t>
    <phoneticPr fontId="3" type="noConversion"/>
  </si>
  <si>
    <t>G1.TBDD32</t>
    <phoneticPr fontId="3" type="noConversion"/>
  </si>
  <si>
    <t>G1.APC33</t>
    <phoneticPr fontId="3" type="noConversion"/>
  </si>
  <si>
    <t>G1.GOT34</t>
    <phoneticPr fontId="3" type="noConversion"/>
  </si>
  <si>
    <t>G1.HUB35</t>
    <phoneticPr fontId="3" type="noConversion"/>
  </si>
  <si>
    <t>Safety Relay 를 통하여 비상 상황 시, 전원차단(2중화)</t>
    <phoneticPr fontId="3" type="noConversion"/>
  </si>
  <si>
    <t>220V VCTF 1.5Sqmm*3C 1.5 Y로 연결</t>
    <phoneticPr fontId="3" type="noConversion"/>
  </si>
  <si>
    <t>RST</t>
    <phoneticPr fontId="3" type="noConversion"/>
  </si>
  <si>
    <t>G1.PL4</t>
    <phoneticPr fontId="3" type="noConversion"/>
  </si>
  <si>
    <t>G1.PM11</t>
    <phoneticPr fontId="3" type="noConversion"/>
  </si>
  <si>
    <t>G1.TPC12</t>
    <phoneticPr fontId="3" type="noConversion"/>
  </si>
  <si>
    <t>G1.DP11</t>
    <phoneticPr fontId="3" type="noConversion"/>
  </si>
  <si>
    <t>G1.B/F12</t>
    <phoneticPr fontId="3" type="noConversion"/>
  </si>
  <si>
    <t>G1.MCCB51</t>
    <phoneticPr fontId="3" type="noConversion"/>
  </si>
  <si>
    <t>G1.H/F51</t>
    <phoneticPr fontId="3" type="noConversion"/>
  </si>
  <si>
    <t>G1.TBDD52</t>
    <phoneticPr fontId="3" type="noConversion"/>
  </si>
  <si>
    <t>G1.SMPS52</t>
    <phoneticPr fontId="3" type="noConversion"/>
  </si>
  <si>
    <t>G1.CP52</t>
    <phoneticPr fontId="3" type="noConversion"/>
  </si>
  <si>
    <t>G1.MC1</t>
    <phoneticPr fontId="3" type="noConversion"/>
  </si>
  <si>
    <t>MC-22b/DC24V 1a1b</t>
    <phoneticPr fontId="3" type="noConversion"/>
  </si>
  <si>
    <t>LGE</t>
    <phoneticPr fontId="3" type="noConversion"/>
  </si>
  <si>
    <t>G1.MC2</t>
    <phoneticPr fontId="3" type="noConversion"/>
  </si>
  <si>
    <t>Model</t>
    <phoneticPr fontId="3" type="noConversion"/>
  </si>
  <si>
    <t>Maker</t>
    <phoneticPr fontId="3" type="noConversion"/>
  </si>
  <si>
    <t>Justem -&gt; 듀크린 // 케이블 제공 길이 전달 예정</t>
    <phoneticPr fontId="3" type="noConversion"/>
  </si>
  <si>
    <t>집진기</t>
    <phoneticPr fontId="3" type="noConversion"/>
  </si>
  <si>
    <t>스위치로 동작 매뉴얼 동작</t>
    <phoneticPr fontId="3" type="noConversion"/>
  </si>
  <si>
    <t>위치</t>
    <phoneticPr fontId="15" type="noConversion"/>
  </si>
  <si>
    <t>품명</t>
    <phoneticPr fontId="15" type="noConversion"/>
  </si>
  <si>
    <t>비고</t>
    <phoneticPr fontId="15" type="noConversion"/>
  </si>
  <si>
    <t>용도</t>
    <phoneticPr fontId="15" type="noConversion"/>
  </si>
  <si>
    <t>Ehternet- Hand Touch</t>
    <phoneticPr fontId="15" type="noConversion"/>
  </si>
  <si>
    <t>Hub 사용</t>
    <phoneticPr fontId="15" type="noConversion"/>
  </si>
  <si>
    <t>Dummy</t>
    <phoneticPr fontId="15" type="noConversion"/>
  </si>
  <si>
    <t>Q38B</t>
    <phoneticPr fontId="15" type="noConversion"/>
  </si>
  <si>
    <t>Q63P</t>
    <phoneticPr fontId="15" type="noConversion"/>
  </si>
  <si>
    <t>QJ61BT11N</t>
  </si>
  <si>
    <t>CC-link</t>
    <phoneticPr fontId="3" type="noConversion"/>
  </si>
  <si>
    <t>I/O</t>
    <phoneticPr fontId="3" type="noConversion"/>
  </si>
  <si>
    <t>B</t>
    <phoneticPr fontId="15" type="noConversion"/>
  </si>
  <si>
    <t>P</t>
    <phoneticPr fontId="3" type="noConversion"/>
  </si>
  <si>
    <t>C</t>
    <phoneticPr fontId="3" type="noConversion"/>
  </si>
  <si>
    <t>PLC 구성도</t>
    <phoneticPr fontId="3" type="noConversion"/>
  </si>
  <si>
    <t>MODEL</t>
    <phoneticPr fontId="3" type="noConversion"/>
  </si>
  <si>
    <t>ADD</t>
    <phoneticPr fontId="3" type="noConversion"/>
  </si>
  <si>
    <t>COMMENT</t>
    <phoneticPr fontId="3" type="noConversion"/>
  </si>
  <si>
    <t>접점</t>
    <phoneticPr fontId="3" type="noConversion"/>
  </si>
  <si>
    <t>MAKER</t>
    <phoneticPr fontId="3" type="noConversion"/>
  </si>
  <si>
    <t>Digital In Put</t>
    <phoneticPr fontId="3" type="noConversion"/>
  </si>
  <si>
    <t>Digital Out Put</t>
    <phoneticPr fontId="3" type="noConversion"/>
  </si>
  <si>
    <t>Analog In Put</t>
    <phoneticPr fontId="3" type="noConversion"/>
  </si>
  <si>
    <t>Analog Out Put</t>
    <phoneticPr fontId="3" type="noConversion"/>
  </si>
  <si>
    <t>Safety In Put</t>
    <phoneticPr fontId="3" type="noConversion"/>
  </si>
  <si>
    <t>Safety Out Put</t>
    <phoneticPr fontId="3" type="noConversion"/>
  </si>
  <si>
    <t>I/O List</t>
    <phoneticPr fontId="3" type="noConversion"/>
  </si>
  <si>
    <t>Main Panel</t>
    <phoneticPr fontId="8" type="noConversion"/>
  </si>
  <si>
    <t>Digital
In Put</t>
    <phoneticPr fontId="8" type="noConversion"/>
  </si>
  <si>
    <t>Analog In/Out Put</t>
    <phoneticPr fontId="8" type="noConversion"/>
  </si>
  <si>
    <t>Safety In/Out Put</t>
    <phoneticPr fontId="8" type="noConversion"/>
  </si>
  <si>
    <t>Digital
In/Out Put</t>
    <phoneticPr fontId="8" type="noConversion"/>
  </si>
  <si>
    <t>비고</t>
    <phoneticPr fontId="3" type="noConversion"/>
  </si>
  <si>
    <t>G1.BZ1 // Buzzer ch1 on</t>
    <phoneticPr fontId="8" type="noConversion"/>
  </si>
  <si>
    <t>G1.CP22 // Safety PLC SMPS CP signal</t>
    <phoneticPr fontId="8" type="noConversion"/>
  </si>
  <si>
    <t>G1.FAN1 // Main panel fan1 signal</t>
    <phoneticPr fontId="8" type="noConversion"/>
  </si>
  <si>
    <t>G1.FAN2 // Main panel fan2 signal</t>
    <phoneticPr fontId="8" type="noConversion"/>
  </si>
  <si>
    <t>G1.TL1 // Main panel tower lamp RD on</t>
    <phoneticPr fontId="8" type="noConversion"/>
  </si>
  <si>
    <t>G1.TL1 // Main panel tower lamp YL on</t>
    <phoneticPr fontId="8" type="noConversion"/>
  </si>
  <si>
    <t>G1.TL1 // Main panel tower lamp GN on</t>
    <phoneticPr fontId="8" type="noConversion"/>
  </si>
  <si>
    <t>G1.EMO1 // Main panel EMO swtich signal</t>
    <phoneticPr fontId="8" type="noConversion"/>
  </si>
  <si>
    <t>G1.MC1,2 // Main MC1,2 signal</t>
    <phoneticPr fontId="3" type="noConversion"/>
  </si>
  <si>
    <t>G1.TPC12 // Panel temp alarm signal</t>
    <phoneticPr fontId="3" type="noConversion"/>
  </si>
  <si>
    <t>G1.EMO2 // Moving touch panel EMO swtich signal</t>
    <phoneticPr fontId="8" type="noConversion"/>
  </si>
  <si>
    <t>G1.EMO3 // Cyclone EMO swtich signal</t>
    <phoneticPr fontId="8" type="noConversion"/>
  </si>
  <si>
    <t>G1.PBSR1 // Main panel Reset swtich signal</t>
    <phoneticPr fontId="8" type="noConversion"/>
  </si>
  <si>
    <t>G1.PBSR2 // Moving touch panel Reset swtich signal</t>
    <phoneticPr fontId="8" type="noConversion"/>
  </si>
  <si>
    <t>a</t>
    <phoneticPr fontId="3" type="noConversion"/>
  </si>
  <si>
    <t>a</t>
    <phoneticPr fontId="8" type="noConversion"/>
  </si>
  <si>
    <t>Out com 0V 연결</t>
    <phoneticPr fontId="8" type="noConversion"/>
  </si>
  <si>
    <t>Relay 사용</t>
    <phoneticPr fontId="8" type="noConversion"/>
  </si>
  <si>
    <t>(용도번호2: 투입중)</t>
    <phoneticPr fontId="8" type="noConversion"/>
  </si>
  <si>
    <t>(용도번호1: 기동중)</t>
    <phoneticPr fontId="8" type="noConversion"/>
  </si>
  <si>
    <t>(용도번호19: 경보출력)</t>
    <phoneticPr fontId="8" type="noConversion"/>
  </si>
  <si>
    <t>Relay 사용(용도번호19: 투입개시명령)</t>
    <phoneticPr fontId="8" type="noConversion"/>
  </si>
  <si>
    <t>Relay 사용(용도번호22: 투입정지)</t>
    <phoneticPr fontId="8" type="noConversion"/>
  </si>
  <si>
    <t>Relay 사용(용도번호21: 피터정지명령)</t>
    <phoneticPr fontId="8" type="noConversion"/>
  </si>
  <si>
    <t>Relay 사용(용도번호20: 피터기동명령)</t>
    <phoneticPr fontId="8" type="noConversion"/>
  </si>
  <si>
    <t>Relay 사용(용도번호4: 경보리셋)</t>
    <phoneticPr fontId="8" type="noConversion"/>
  </si>
  <si>
    <t>Q03UDVCPU</t>
    <phoneticPr fontId="15" type="noConversion"/>
  </si>
  <si>
    <t>Pin no: 16(17com)</t>
    <phoneticPr fontId="3" type="noConversion"/>
  </si>
  <si>
    <t>Pin no: 14(15com)</t>
    <phoneticPr fontId="3" type="noConversion"/>
  </si>
  <si>
    <t>Pin no: 10,12 // Relay 사용</t>
    <phoneticPr fontId="8" type="noConversion"/>
  </si>
  <si>
    <t>G1.DP11 // Dry pump: start check signal</t>
    <phoneticPr fontId="8" type="noConversion"/>
  </si>
  <si>
    <t>G1.DP11 // Dry pump: alarm signal</t>
    <phoneticPr fontId="8" type="noConversion"/>
  </si>
  <si>
    <t>G1.H/F51 // Hooper feeder: being put in signal</t>
    <phoneticPr fontId="8" type="noConversion"/>
  </si>
  <si>
    <t>G1.H/F51 // Hooper feeder: running signal</t>
    <phoneticPr fontId="8" type="noConversion"/>
  </si>
  <si>
    <t>G1.H/F51 // Hooper feeder: alarm signal</t>
    <phoneticPr fontId="8" type="noConversion"/>
  </si>
  <si>
    <t>G1.DP11 // Dry pump: start on</t>
    <phoneticPr fontId="8" type="noConversion"/>
  </si>
  <si>
    <t>G1.DP11 // Dry pump: alarm reset on</t>
    <phoneticPr fontId="8" type="noConversion"/>
  </si>
  <si>
    <t>G1.DP11 // Dry pump: external error on</t>
    <phoneticPr fontId="8" type="noConversion"/>
  </si>
  <si>
    <t>G1.H/F51 // Hooper feeder: being put in on</t>
    <phoneticPr fontId="8" type="noConversion"/>
  </si>
  <si>
    <t>G1.H/F51 // Hooper feeder: being put in stop on</t>
    <phoneticPr fontId="8" type="noConversion"/>
  </si>
  <si>
    <t>G1.H/F51 // Hooper feeder: feeder running on</t>
    <phoneticPr fontId="8" type="noConversion"/>
  </si>
  <si>
    <t>G1.H/F51 // Hooper feeder: feeder stop on</t>
    <phoneticPr fontId="8" type="noConversion"/>
  </si>
  <si>
    <t>G1.H/F51 // Hooper feeder: alarm reset on</t>
    <phoneticPr fontId="8" type="noConversion"/>
  </si>
  <si>
    <t>c</t>
    <phoneticPr fontId="3" type="noConversion"/>
  </si>
  <si>
    <t>G0.DC1 // Dust collector: run (on) status signal</t>
    <phoneticPr fontId="3" type="noConversion"/>
  </si>
  <si>
    <t>G0.DC1 // Dust collector: Alarm (on) signal</t>
    <phoneticPr fontId="3" type="noConversion"/>
  </si>
  <si>
    <t>G0.DC2 // Dust collector: Run (on) status signal</t>
    <phoneticPr fontId="3" type="noConversion"/>
  </si>
  <si>
    <t>G0.DC2 // Dust collector: Alarm (on) signal</t>
    <phoneticPr fontId="3" type="noConversion"/>
  </si>
  <si>
    <t>G0.DC1 // Dust collector: Run on</t>
    <phoneticPr fontId="3" type="noConversion"/>
  </si>
  <si>
    <t>G0.DC2 // Dust collector: Run on</t>
    <phoneticPr fontId="3" type="noConversion"/>
  </si>
  <si>
    <t>G0.CB1</t>
    <phoneticPr fontId="3" type="noConversion"/>
  </si>
  <si>
    <t>G0.DC1</t>
    <phoneticPr fontId="3" type="noConversion"/>
  </si>
  <si>
    <t>G0.DC2</t>
    <phoneticPr fontId="3" type="noConversion"/>
  </si>
  <si>
    <t>Analog
In Put</t>
    <phoneticPr fontId="3" type="noConversion"/>
  </si>
  <si>
    <t>AI00</t>
    <phoneticPr fontId="3" type="noConversion"/>
  </si>
  <si>
    <t>AI01</t>
  </si>
  <si>
    <t>AI02</t>
  </si>
  <si>
    <t>AI03</t>
  </si>
  <si>
    <t>4~20mA</t>
    <phoneticPr fontId="3" type="noConversion"/>
  </si>
  <si>
    <t>0~20mA</t>
    <phoneticPr fontId="3" type="noConversion"/>
  </si>
  <si>
    <t>Dry pump vacuum gauge</t>
    <phoneticPr fontId="3" type="noConversion"/>
  </si>
  <si>
    <t>0~10V</t>
    <phoneticPr fontId="3" type="noConversion"/>
  </si>
  <si>
    <t>Analog
Out Put</t>
    <phoneticPr fontId="3" type="noConversion"/>
  </si>
  <si>
    <t xml:space="preserve">Dry pump APC valve </t>
    <phoneticPr fontId="3" type="noConversion"/>
  </si>
  <si>
    <t>N2 Dry pump preesure swtich signal</t>
    <phoneticPr fontId="3" type="noConversion"/>
  </si>
  <si>
    <t>CDA Sol manifold preesure swtich signal</t>
    <phoneticPr fontId="3" type="noConversion"/>
  </si>
  <si>
    <t>Process in preesure swtich1 signal</t>
    <phoneticPr fontId="3" type="noConversion"/>
  </si>
  <si>
    <t>Process in preesure swtich2 signal</t>
    <phoneticPr fontId="3" type="noConversion"/>
  </si>
  <si>
    <t>Process in preesure swtich3 signal</t>
    <phoneticPr fontId="3" type="noConversion"/>
  </si>
  <si>
    <t>Process in preesure swtich signal</t>
    <phoneticPr fontId="3" type="noConversion"/>
  </si>
  <si>
    <t>Process out preesure swtich signal</t>
    <phoneticPr fontId="3" type="noConversion"/>
  </si>
  <si>
    <t>Dry pump preesure swtich signal</t>
    <phoneticPr fontId="3" type="noConversion"/>
  </si>
  <si>
    <t>Process in valve open signal</t>
    <phoneticPr fontId="3" type="noConversion"/>
  </si>
  <si>
    <t>Process in valve close signal</t>
    <phoneticPr fontId="3" type="noConversion"/>
  </si>
  <si>
    <t>Process in valve open on</t>
    <phoneticPr fontId="3" type="noConversion"/>
  </si>
  <si>
    <t>H/F supply valve open signal</t>
    <phoneticPr fontId="3" type="noConversion"/>
  </si>
  <si>
    <t>H/F supply valve close signal</t>
    <phoneticPr fontId="3" type="noConversion"/>
  </si>
  <si>
    <t>H/F supply valve open on</t>
    <phoneticPr fontId="3" type="noConversion"/>
  </si>
  <si>
    <t>H/F exhaust valve open signal</t>
    <phoneticPr fontId="3" type="noConversion"/>
  </si>
  <si>
    <t>H/F exhaust valve close signal</t>
    <phoneticPr fontId="3" type="noConversion"/>
  </si>
  <si>
    <t>Process out vacuum1 gauge</t>
    <phoneticPr fontId="3" type="noConversion"/>
  </si>
  <si>
    <t>Process out vacuum2 gauge(spare)</t>
    <phoneticPr fontId="3" type="noConversion"/>
  </si>
  <si>
    <t>Process out vacuum1 gauge valve open signal</t>
    <phoneticPr fontId="3" type="noConversion"/>
  </si>
  <si>
    <t>Process out vacuum1 gauge valve close signal</t>
    <phoneticPr fontId="3" type="noConversion"/>
  </si>
  <si>
    <t>Process out vacuum2 gauge valve open signal</t>
  </si>
  <si>
    <t>Process out vacuum2 gauge valve close signal</t>
  </si>
  <si>
    <t>Dry pump roughing valve open signal</t>
    <phoneticPr fontId="3" type="noConversion"/>
  </si>
  <si>
    <t>Dry pump roughing valve close signal</t>
    <phoneticPr fontId="3" type="noConversion"/>
  </si>
  <si>
    <t>Dry pump roughing vacuum gauge</t>
    <phoneticPr fontId="3" type="noConversion"/>
  </si>
  <si>
    <t>Line exhaust valve open signal</t>
    <phoneticPr fontId="3" type="noConversion"/>
  </si>
  <si>
    <t>Line exhaust valve close signal</t>
    <phoneticPr fontId="3" type="noConversion"/>
  </si>
  <si>
    <t>Line exhaust valve open on</t>
    <phoneticPr fontId="3" type="noConversion"/>
  </si>
  <si>
    <t>G1.PLCP21</t>
    <phoneticPr fontId="3" type="noConversion"/>
  </si>
  <si>
    <t>G1.SC22</t>
    <phoneticPr fontId="3" type="noConversion"/>
  </si>
  <si>
    <t>QJ71C24N</t>
    <phoneticPr fontId="3" type="noConversion"/>
  </si>
  <si>
    <t>H/F exhaust valve open on</t>
  </si>
  <si>
    <t>Process out vacuum1 gauge valve open on</t>
  </si>
  <si>
    <t>Process out vacuum2 gauge valve open on</t>
    <phoneticPr fontId="3" type="noConversion"/>
  </si>
  <si>
    <t>Bag filter in valve open on</t>
    <phoneticPr fontId="3" type="noConversion"/>
  </si>
  <si>
    <t>Bag filter in valve open signal</t>
    <phoneticPr fontId="3" type="noConversion"/>
  </si>
  <si>
    <t>Bag filter in valve close signal</t>
    <phoneticPr fontId="3" type="noConversion"/>
  </si>
  <si>
    <t>케이블 제공 길이 전달 예정 // 220V 3phase 5A MCCB</t>
    <phoneticPr fontId="3" type="noConversion"/>
  </si>
  <si>
    <t>G1.PBSR1 // Main panel Reset swtich lamp on</t>
    <phoneticPr fontId="8" type="noConversion"/>
  </si>
  <si>
    <t>G1.PBSR2 // Moving touch panel Reset swtich lamp on</t>
    <phoneticPr fontId="8" type="noConversion"/>
  </si>
  <si>
    <t>1sec 주기 점멸 사용</t>
    <phoneticPr fontId="3" type="noConversion"/>
  </si>
  <si>
    <t>PNP</t>
    <phoneticPr fontId="3" type="noConversion"/>
  </si>
  <si>
    <t>In put power</t>
    <phoneticPr fontId="3" type="noConversion"/>
  </si>
  <si>
    <t>Main supply1 valve open signal</t>
    <phoneticPr fontId="3" type="noConversion"/>
  </si>
  <si>
    <t>Main supply1 valve close signal</t>
    <phoneticPr fontId="3" type="noConversion"/>
  </si>
  <si>
    <t>Main supply2 valve open signal</t>
  </si>
  <si>
    <t>Main supply2 valve close signal</t>
  </si>
  <si>
    <t>Main supply3 valve open signal</t>
  </si>
  <si>
    <t>Main supply3 valve close signal</t>
  </si>
  <si>
    <t>Main supply1 valve open on</t>
    <phoneticPr fontId="3" type="noConversion"/>
  </si>
  <si>
    <t>Main supply2 valve open on</t>
  </si>
  <si>
    <t>Main supply3 valve open on</t>
  </si>
  <si>
    <t>Digital In Put(16ch)</t>
    <phoneticPr fontId="3" type="noConversion"/>
  </si>
  <si>
    <t>Digital Out Put(16ch)</t>
    <phoneticPr fontId="3" type="noConversion"/>
  </si>
  <si>
    <t>Digital
In Put(16ch)</t>
    <phoneticPr fontId="8" type="noConversion"/>
  </si>
  <si>
    <t>Digital
Out Put(16ch)</t>
    <phoneticPr fontId="8" type="noConversion"/>
  </si>
  <si>
    <t>X1000, Y1000 부터 시작하며 아날로그는 Station 11부터 시작</t>
    <phoneticPr fontId="3" type="noConversion"/>
  </si>
  <si>
    <t>RS-485: H/F</t>
    <phoneticPr fontId="3" type="noConversion"/>
  </si>
  <si>
    <t>RS-232: APC(아날로그 포함)</t>
    <phoneticPr fontId="3" type="noConversion"/>
  </si>
  <si>
    <t>Dry pump fast roughing valve open on</t>
    <phoneticPr fontId="3" type="noConversion"/>
  </si>
  <si>
    <t>Dry pump slow roughing valve open on</t>
    <phoneticPr fontId="3" type="noConversion"/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</si>
  <si>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</si>
  <si>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</si>
  <si>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</si>
  <si>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</si>
  <si>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</si>
  <si>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</si>
  <si>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</si>
  <si>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</si>
  <si>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</si>
  <si>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</si>
  <si>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X100A</t>
  </si>
  <si>
    <t>X100B</t>
  </si>
  <si>
    <t>X100C</t>
  </si>
  <si>
    <t>X100D</t>
  </si>
  <si>
    <t>X100E</t>
  </si>
  <si>
    <t>X100F</t>
  </si>
  <si>
    <t>Y1010</t>
  </si>
  <si>
    <t>Y1011</t>
  </si>
  <si>
    <t>Y1012</t>
  </si>
  <si>
    <t>Y1013</t>
  </si>
  <si>
    <t>Y1014</t>
  </si>
  <si>
    <t>Y1015</t>
  </si>
  <si>
    <t>Y1016</t>
  </si>
  <si>
    <t>Y1017</t>
  </si>
  <si>
    <t>Y1018</t>
  </si>
  <si>
    <t>Y1019</t>
  </si>
  <si>
    <t>Y101A</t>
  </si>
  <si>
    <t>Y101B</t>
  </si>
  <si>
    <t>Y101C</t>
  </si>
  <si>
    <t>Y101D</t>
  </si>
  <si>
    <t>Y101E</t>
  </si>
  <si>
    <t>Y101F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</si>
  <si>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</si>
  <si>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</si>
  <si>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</si>
  <si>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</si>
  <si>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</si>
  <si>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</si>
  <si>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</si>
  <si>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</si>
  <si>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</si>
  <si>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</si>
  <si>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X102A</t>
  </si>
  <si>
    <t>X102B</t>
  </si>
  <si>
    <t>X102C</t>
  </si>
  <si>
    <t>X102D</t>
  </si>
  <si>
    <t>X102E</t>
  </si>
  <si>
    <t>X102F</t>
  </si>
  <si>
    <t>Y1030</t>
  </si>
  <si>
    <t>Y1031</t>
  </si>
  <si>
    <t>Y1032</t>
  </si>
  <si>
    <t>Y1033</t>
  </si>
  <si>
    <t>Y1034</t>
  </si>
  <si>
    <t>Y1035</t>
  </si>
  <si>
    <t>Y1036</t>
  </si>
  <si>
    <t>Y1037</t>
  </si>
  <si>
    <t>Y1038</t>
  </si>
  <si>
    <t>Y1039</t>
  </si>
  <si>
    <t>Y103A</t>
  </si>
  <si>
    <t>Y103B</t>
  </si>
  <si>
    <t>Y103C</t>
  </si>
  <si>
    <t>Y103D</t>
  </si>
  <si>
    <t>Y103E</t>
  </si>
  <si>
    <t>Y103F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</si>
  <si>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</si>
  <si>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</si>
  <si>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</si>
  <si>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</si>
  <si>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</si>
  <si>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</si>
  <si>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</si>
  <si>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</si>
  <si>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</si>
  <si>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</si>
  <si>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X104A</t>
  </si>
  <si>
    <t>X104B</t>
  </si>
  <si>
    <t>X104C</t>
  </si>
  <si>
    <t>X104D</t>
  </si>
  <si>
    <t>X104E</t>
  </si>
  <si>
    <t>X104F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</si>
  <si>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</si>
  <si>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</si>
  <si>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</si>
  <si>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</si>
  <si>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</si>
  <si>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</si>
  <si>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</si>
  <si>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</si>
  <si>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</si>
  <si>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</si>
  <si>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X105A</t>
  </si>
  <si>
    <t>X105B</t>
  </si>
  <si>
    <t>X105C</t>
  </si>
  <si>
    <t>X105D</t>
  </si>
  <si>
    <t>X105E</t>
  </si>
  <si>
    <t>X105F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</si>
  <si>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</si>
  <si>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</si>
  <si>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</si>
  <si>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</si>
  <si>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</si>
  <si>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</si>
  <si>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</si>
  <si>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</si>
  <si>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</si>
  <si>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</si>
  <si>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X106A</t>
  </si>
  <si>
    <t>X106B</t>
  </si>
  <si>
    <t>X106C</t>
  </si>
  <si>
    <t>X106D</t>
  </si>
  <si>
    <t>X106E</t>
  </si>
  <si>
    <t>X106F</t>
  </si>
  <si>
    <t>Y1070</t>
  </si>
  <si>
    <t>Y1071</t>
  </si>
  <si>
    <t>Y1072</t>
  </si>
  <si>
    <t>Y1073</t>
  </si>
  <si>
    <t>Y1074</t>
  </si>
  <si>
    <t>Y1075</t>
  </si>
  <si>
    <t>Y1076</t>
  </si>
  <si>
    <t>Y1077</t>
  </si>
  <si>
    <t>Y1078</t>
  </si>
  <si>
    <t>Y1079</t>
  </si>
  <si>
    <t>Y107A</t>
  </si>
  <si>
    <t>Y107B</t>
  </si>
  <si>
    <t>Y107C</t>
  </si>
  <si>
    <t>Y107D</t>
  </si>
  <si>
    <t>Y107E</t>
  </si>
  <si>
    <t>Y107F</t>
  </si>
  <si>
    <t>Process in flow meter</t>
  </si>
  <si>
    <t>Process in DP gauge meter</t>
  </si>
  <si>
    <t>Process DP gauge meter</t>
  </si>
  <si>
    <t>Process out DP gauge meter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</si>
  <si>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</si>
  <si>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</si>
  <si>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</si>
  <si>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</si>
  <si>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</si>
  <si>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</si>
  <si>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</si>
  <si>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</si>
  <si>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</si>
  <si>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</si>
  <si>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X108A</t>
  </si>
  <si>
    <t>X108B</t>
  </si>
  <si>
    <t>X108C</t>
  </si>
  <si>
    <t>X108D</t>
  </si>
  <si>
    <t>X108E</t>
  </si>
  <si>
    <t>X108F</t>
  </si>
  <si>
    <t>Y10A0</t>
  </si>
  <si>
    <t>Y10A1</t>
  </si>
  <si>
    <t>Y10A2</t>
  </si>
  <si>
    <t>Y10A3</t>
  </si>
  <si>
    <t>Y10A4</t>
  </si>
  <si>
    <t>Y10A5</t>
  </si>
  <si>
    <t>Y10A6</t>
  </si>
  <si>
    <t>Y10A7</t>
  </si>
  <si>
    <t>Y10A8</t>
  </si>
  <si>
    <t>Y10A9</t>
  </si>
  <si>
    <t>Y10AA</t>
  </si>
  <si>
    <t>Y10AB</t>
  </si>
  <si>
    <t>Y10AC</t>
  </si>
  <si>
    <t>Y10AD</t>
  </si>
  <si>
    <t>Y10AE</t>
  </si>
  <si>
    <t>Y10AF</t>
  </si>
  <si>
    <t>AI10</t>
  </si>
  <si>
    <t>AI11</t>
  </si>
  <si>
    <t>AI12</t>
  </si>
  <si>
    <t>AI13</t>
  </si>
  <si>
    <t>AI20</t>
  </si>
  <si>
    <t>AI21</t>
  </si>
  <si>
    <t>AI22</t>
  </si>
  <si>
    <t>AI23</t>
  </si>
  <si>
    <t>DAV30</t>
  </si>
  <si>
    <t>DAV31</t>
  </si>
  <si>
    <t>DAV32</t>
  </si>
  <si>
    <t>DAV33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</si>
</sst>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#,##0.00_);[Red]\(#,##0.00\)"/>
    <numFmt numFmtId="177" formatCode="#,##0.0_);[Red]\(#,##0.0\)"/>
    <numFmt numFmtId="178" formatCode="#,##0_);[Red]\(#,##0\)"/>
    <numFmt numFmtId="179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</font>
    <font>
      <sz val="8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1" fillId="0" borderId="0">
      <alignment vertical="center"/>
    </xf>
  </cellStyleXfs>
  <cellXfs count="8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6" fillId="0" borderId="2" xfId="0" applyFont="1" applyBorder="1">
      <alignment vertical="center"/>
    </xf>
    <xf numFmtId="178" fontId="6" fillId="0" borderId="2" xfId="1" applyNumberFormat="1" applyFont="1" applyFill="1" applyBorder="1">
      <alignment vertical="center"/>
    </xf>
    <xf numFmtId="176" fontId="6" fillId="0" borderId="2" xfId="1" applyNumberFormat="1" applyFont="1" applyFill="1" applyBorder="1">
      <alignment vertical="center"/>
    </xf>
    <xf numFmtId="43" fontId="6" fillId="0" borderId="2" xfId="1" applyNumberFormat="1" applyFont="1" applyFill="1" applyBorder="1">
      <alignment vertical="center"/>
    </xf>
    <xf numFmtId="178" fontId="6" fillId="0" borderId="2" xfId="0" applyNumberFormat="1" applyFont="1" applyBorder="1">
      <alignment vertical="center"/>
    </xf>
    <xf numFmtId="176" fontId="6" fillId="0" borderId="2" xfId="0" applyNumberFormat="1" applyFont="1" applyBorder="1">
      <alignment vertical="center"/>
    </xf>
    <xf numFmtId="0" fontId="11" fillId="0" borderId="2" xfId="0" applyFont="1" applyBorder="1">
      <alignment vertical="center"/>
    </xf>
    <xf numFmtId="176" fontId="11" fillId="0" borderId="2" xfId="0" applyNumberFormat="1" applyFont="1" applyBorder="1">
      <alignment vertical="center"/>
    </xf>
    <xf numFmtId="43" fontId="11" fillId="0" borderId="2" xfId="1" applyNumberFormat="1" applyFont="1" applyFill="1" applyBorder="1">
      <alignment vertical="center"/>
    </xf>
    <xf numFmtId="178" fontId="11" fillId="0" borderId="2" xfId="1" applyNumberFormat="1" applyFont="1" applyFill="1" applyBorder="1">
      <alignment vertical="center"/>
    </xf>
    <xf numFmtId="179" fontId="6" fillId="0" borderId="2" xfId="1" applyNumberFormat="1" applyFont="1" applyFill="1" applyBorder="1">
      <alignment vertical="center"/>
    </xf>
    <xf numFmtId="0" fontId="11" fillId="0" borderId="0" xfId="0" applyFont="1">
      <alignment vertical="center"/>
    </xf>
    <xf numFmtId="176" fontId="11" fillId="0" borderId="2" xfId="1" applyNumberFormat="1" applyFont="1" applyFill="1" applyBorder="1">
      <alignment vertical="center"/>
    </xf>
    <xf numFmtId="41" fontId="11" fillId="0" borderId="2" xfId="1" applyFont="1" applyFill="1" applyBorder="1">
      <alignment vertical="center"/>
    </xf>
    <xf numFmtId="0" fontId="11" fillId="5" borderId="2" xfId="0" applyFont="1" applyFill="1" applyBorder="1">
      <alignment vertical="center"/>
    </xf>
    <xf numFmtId="176" fontId="11" fillId="5" borderId="2" xfId="0" applyNumberFormat="1" applyFont="1" applyFill="1" applyBorder="1">
      <alignment vertical="center"/>
    </xf>
    <xf numFmtId="43" fontId="11" fillId="5" borderId="2" xfId="1" applyNumberFormat="1" applyFont="1" applyFill="1" applyBorder="1">
      <alignment vertical="center"/>
    </xf>
    <xf numFmtId="176" fontId="11" fillId="6" borderId="2" xfId="1" applyNumberFormat="1" applyFont="1" applyFill="1" applyBorder="1">
      <alignment vertical="center"/>
    </xf>
    <xf numFmtId="176" fontId="6" fillId="6" borderId="2" xfId="1" applyNumberFormat="1" applyFont="1" applyFill="1" applyBorder="1">
      <alignment vertical="center"/>
    </xf>
    <xf numFmtId="176" fontId="11" fillId="6" borderId="2" xfId="0" applyNumberFormat="1" applyFont="1" applyFill="1" applyBorder="1">
      <alignment vertical="center"/>
    </xf>
    <xf numFmtId="178" fontId="11" fillId="5" borderId="2" xfId="1" applyNumberFormat="1" applyFont="1" applyFill="1" applyBorder="1">
      <alignment vertical="center"/>
    </xf>
    <xf numFmtId="0" fontId="11" fillId="2" borderId="2" xfId="0" applyFont="1" applyFill="1" applyBorder="1">
      <alignment vertical="center"/>
    </xf>
    <xf numFmtId="176" fontId="11" fillId="2" borderId="2" xfId="0" applyNumberFormat="1" applyFont="1" applyFill="1" applyBorder="1">
      <alignment vertical="center"/>
    </xf>
    <xf numFmtId="43" fontId="11" fillId="2" borderId="2" xfId="1" applyNumberFormat="1" applyFont="1" applyFill="1" applyBorder="1">
      <alignment vertical="center"/>
    </xf>
    <xf numFmtId="178" fontId="11" fillId="2" borderId="2" xfId="1" applyNumberFormat="1" applyFont="1" applyFill="1" applyBorder="1">
      <alignment vertical="center"/>
    </xf>
    <xf numFmtId="0" fontId="12" fillId="0" borderId="2" xfId="0" applyFont="1" applyBorder="1">
      <alignment vertical="center"/>
    </xf>
    <xf numFmtId="178" fontId="12" fillId="0" borderId="2" xfId="1" applyNumberFormat="1" applyFont="1" applyFill="1" applyBorder="1">
      <alignment vertical="center"/>
    </xf>
    <xf numFmtId="176" fontId="12" fillId="0" borderId="2" xfId="1" applyNumberFormat="1" applyFont="1" applyFill="1" applyBorder="1">
      <alignment vertical="center"/>
    </xf>
    <xf numFmtId="43" fontId="12" fillId="0" borderId="2" xfId="1" applyNumberFormat="1" applyFont="1" applyFill="1" applyBorder="1">
      <alignment vertical="center"/>
    </xf>
    <xf numFmtId="0" fontId="12" fillId="7" borderId="2" xfId="0" applyFont="1" applyFill="1" applyBorder="1">
      <alignment vertical="center"/>
    </xf>
    <xf numFmtId="0" fontId="7" fillId="9" borderId="2" xfId="0" applyFont="1" applyFill="1" applyBorder="1" applyAlignment="1">
      <alignment horizontal="center" vertical="center"/>
    </xf>
    <xf numFmtId="0" fontId="9" fillId="4" borderId="2" xfId="0" applyFont="1" applyFill="1" applyBorder="1">
      <alignment vertical="center"/>
    </xf>
    <xf numFmtId="0" fontId="5" fillId="5" borderId="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11" fillId="7" borderId="2" xfId="0" applyFont="1" applyFill="1" applyBorder="1">
      <alignment vertical="center"/>
    </xf>
    <xf numFmtId="176" fontId="11" fillId="5" borderId="2" xfId="1" applyNumberFormat="1" applyFont="1" applyFill="1" applyBorder="1">
      <alignment vertical="center"/>
    </xf>
    <xf numFmtId="176" fontId="11" fillId="2" borderId="2" xfId="1" applyNumberFormat="1" applyFont="1" applyFill="1" applyBorder="1">
      <alignment vertical="center"/>
    </xf>
    <xf numFmtId="178" fontId="11" fillId="6" borderId="2" xfId="1" applyNumberFormat="1" applyFont="1" applyFill="1" applyBorder="1">
      <alignment vertical="center"/>
    </xf>
    <xf numFmtId="0" fontId="12" fillId="10" borderId="2" xfId="0" applyFont="1" applyFill="1" applyBorder="1">
      <alignment vertical="center"/>
    </xf>
    <xf numFmtId="0" fontId="12" fillId="11" borderId="2" xfId="0" applyFont="1" applyFill="1" applyBorder="1">
      <alignment vertical="center"/>
    </xf>
    <xf numFmtId="0" fontId="7" fillId="9" borderId="5" xfId="0" applyFont="1" applyFill="1" applyBorder="1" applyAlignment="1">
      <alignment horizontal="center" vertical="center"/>
    </xf>
    <xf numFmtId="178" fontId="5" fillId="3" borderId="5" xfId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6" fontId="5" fillId="3" borderId="5" xfId="1" applyNumberFormat="1" applyFont="1" applyFill="1" applyBorder="1" applyAlignment="1">
      <alignment horizontal="center" vertical="center"/>
    </xf>
    <xf numFmtId="177" fontId="5" fillId="3" borderId="5" xfId="0" applyNumberFormat="1" applyFont="1" applyFill="1" applyBorder="1" applyAlignment="1">
      <alignment horizontal="center"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13" fillId="0" borderId="0" xfId="0" applyFont="1">
      <alignment vertical="center"/>
    </xf>
    <xf numFmtId="0" fontId="0" fillId="0" borderId="2" xfId="0" applyBorder="1">
      <alignment vertical="center"/>
    </xf>
    <xf numFmtId="0" fontId="0" fillId="7" borderId="2" xfId="0" applyFill="1" applyBorder="1">
      <alignment vertical="center"/>
    </xf>
    <xf numFmtId="0" fontId="0" fillId="0" borderId="0" xfId="0" applyAlignment="1"/>
    <xf numFmtId="0" fontId="0" fillId="0" borderId="4" xfId="0" quotePrefix="1" applyBorder="1" applyAlignment="1">
      <alignment horizontal="right"/>
    </xf>
    <xf numFmtId="0" fontId="0" fillId="0" borderId="4" xfId="0" applyBorder="1" applyAlignment="1"/>
    <xf numFmtId="0" fontId="16" fillId="9" borderId="5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4" fillId="0" borderId="6" xfId="2" applyFont="1" applyBorder="1" applyAlignme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23" fillId="0" borderId="0" xfId="0" applyFont="1">
      <alignment vertical="center"/>
    </xf>
    <xf numFmtId="0" fontId="14" fillId="0" borderId="12" xfId="2" applyFont="1" applyBorder="1" applyAlignment="1">
      <alignment vertical="center"/>
    </xf>
    <xf numFmtId="0" fontId="16" fillId="9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25" fillId="4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center" vertical="center" shrinkToFit="1"/>
    </xf>
    <xf numFmtId="0" fontId="20" fillId="8" borderId="11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 shrinkToFit="1"/>
    </xf>
    <xf numFmtId="0" fontId="20" fillId="0" borderId="2" xfId="0" applyFont="1" applyBorder="1">
      <alignment vertical="center"/>
    </xf>
    <xf numFmtId="0" fontId="14" fillId="0" borderId="3" xfId="2" applyFont="1" applyBorder="1" applyAlignment="1">
      <alignment vertical="center"/>
    </xf>
    <xf numFmtId="0" fontId="14" fillId="0" borderId="13" xfId="2" applyFont="1" applyBorder="1" applyAlignment="1">
      <alignment vertical="center"/>
    </xf>
    <xf numFmtId="0" fontId="16" fillId="9" borderId="9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shrinkToFit="1"/>
    </xf>
    <xf numFmtId="0" fontId="24" fillId="0" borderId="2" xfId="0" applyFont="1" applyBorder="1" applyAlignment="1">
      <alignment horizontal="center" vertical="center" wrapText="1"/>
    </xf>
  </cellXfs>
  <cellStyles count="4">
    <cellStyle name="쉼표 [0]" xfId="1" builtinId="6"/>
    <cellStyle name="제목 1" xfId="2" builtinId="16"/>
    <cellStyle name="표준" xfId="0" builtinId="0"/>
    <cellStyle name="표준 2 2 2" xfId="3" xr:uid="{DB5C37BA-6DA6-41A1-B525-3E46AC6976CD}"/>
  </cellStyles>
  <dxfs count="1">
    <dxf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23F5-07AC-4290-8CDD-F159A66F59CA}">
  <dimension ref="B1:E87"/>
  <sheetViews>
    <sheetView zoomScale="85" zoomScaleNormal="85" workbookViewId="0">
      <selection activeCell="D23" sqref="D23"/>
    </sheetView>
  </sheetViews>
  <sheetFormatPr defaultRowHeight="17.25" x14ac:dyDescent="0.3"/>
  <cols>
    <col min="1" max="1" width="9" style="15"/>
    <col min="2" max="2" width="16.125" style="15" customWidth="1"/>
    <col min="3" max="3" width="26.125" style="15" customWidth="1"/>
    <col min="4" max="4" width="17.375" style="15" customWidth="1"/>
    <col min="5" max="5" width="63.125" style="15" customWidth="1"/>
    <col min="6" max="16384" width="9" style="15"/>
  </cols>
  <sheetData>
    <row r="1" spans="2:5" customFormat="1" ht="16.5" x14ac:dyDescent="0.3"/>
    <row r="2" spans="2:5" customFormat="1" x14ac:dyDescent="0.3">
      <c r="B2" s="34" t="s">
        <v>0</v>
      </c>
      <c r="C2" s="34" t="s">
        <v>141</v>
      </c>
      <c r="D2" s="34" t="s">
        <v>142</v>
      </c>
      <c r="E2" s="34" t="s">
        <v>1</v>
      </c>
    </row>
    <row r="3" spans="2:5" customFormat="1" x14ac:dyDescent="0.3">
      <c r="B3" s="10" t="s">
        <v>34</v>
      </c>
      <c r="C3" s="10"/>
      <c r="D3" s="10"/>
      <c r="E3" s="38" t="s">
        <v>38</v>
      </c>
    </row>
    <row r="4" spans="2:5" customFormat="1" x14ac:dyDescent="0.3">
      <c r="B4" s="10" t="s">
        <v>144</v>
      </c>
      <c r="C4" s="10"/>
      <c r="D4" s="10"/>
      <c r="E4" s="38" t="s">
        <v>143</v>
      </c>
    </row>
    <row r="5" spans="2:5" customFormat="1" x14ac:dyDescent="0.3">
      <c r="B5" s="29" t="s">
        <v>30</v>
      </c>
      <c r="C5" s="10"/>
      <c r="D5" s="10"/>
      <c r="E5" s="33"/>
    </row>
    <row r="6" spans="2:5" customFormat="1" x14ac:dyDescent="0.3">
      <c r="B6" s="29" t="s">
        <v>31</v>
      </c>
      <c r="C6" s="10"/>
      <c r="D6" s="10"/>
      <c r="E6" s="33" t="s">
        <v>145</v>
      </c>
    </row>
    <row r="7" spans="2:5" customFormat="1" x14ac:dyDescent="0.3">
      <c r="B7" s="10" t="s">
        <v>47</v>
      </c>
      <c r="C7" s="10"/>
      <c r="D7" s="10"/>
      <c r="E7" s="33"/>
    </row>
    <row r="8" spans="2:5" customFormat="1" x14ac:dyDescent="0.3">
      <c r="B8" s="10" t="s">
        <v>48</v>
      </c>
      <c r="C8" s="10" t="s">
        <v>49</v>
      </c>
      <c r="D8" s="10" t="s">
        <v>50</v>
      </c>
      <c r="E8" s="33"/>
    </row>
    <row r="9" spans="2:5" customFormat="1" x14ac:dyDescent="0.3">
      <c r="B9" s="53"/>
      <c r="C9" s="10"/>
      <c r="D9" s="10"/>
      <c r="E9" s="33"/>
    </row>
    <row r="10" spans="2:5" customFormat="1" x14ac:dyDescent="0.3">
      <c r="B10" s="53"/>
      <c r="C10" s="10"/>
      <c r="D10" s="10"/>
      <c r="E10" s="33"/>
    </row>
    <row r="11" spans="2:5" customFormat="1" x14ac:dyDescent="0.3">
      <c r="B11" s="53"/>
      <c r="C11" s="10"/>
      <c r="D11" s="10"/>
      <c r="E11" s="54"/>
    </row>
    <row r="12" spans="2:5" customFormat="1" x14ac:dyDescent="0.3">
      <c r="B12" s="53"/>
      <c r="C12" s="10"/>
      <c r="D12" s="10"/>
      <c r="E12" s="54"/>
    </row>
    <row r="13" spans="2:5" customFormat="1" x14ac:dyDescent="0.3">
      <c r="B13" s="53"/>
      <c r="C13" s="10"/>
      <c r="D13" s="10"/>
      <c r="E13" s="54"/>
    </row>
    <row r="14" spans="2:5" customFormat="1" x14ac:dyDescent="0.3">
      <c r="B14" s="53"/>
      <c r="C14" s="10"/>
      <c r="D14" s="10"/>
      <c r="E14" s="54"/>
    </row>
    <row r="15" spans="2:5" customFormat="1" x14ac:dyDescent="0.3">
      <c r="B15" s="53"/>
      <c r="C15" s="10"/>
      <c r="D15" s="10"/>
      <c r="E15" s="54"/>
    </row>
    <row r="16" spans="2:5" customFormat="1" x14ac:dyDescent="0.3">
      <c r="B16" s="53"/>
      <c r="C16" s="10"/>
      <c r="D16" s="10"/>
      <c r="E16" s="54"/>
    </row>
    <row r="17" spans="2:5" customFormat="1" x14ac:dyDescent="0.3">
      <c r="B17" s="53"/>
      <c r="C17" s="10"/>
      <c r="D17" s="10"/>
      <c r="E17" s="54"/>
    </row>
    <row r="18" spans="2:5" customFormat="1" x14ac:dyDescent="0.3">
      <c r="B18" s="53"/>
      <c r="C18" s="10"/>
      <c r="D18" s="10"/>
      <c r="E18" s="54"/>
    </row>
    <row r="19" spans="2:5" customFormat="1" x14ac:dyDescent="0.3">
      <c r="B19" s="53"/>
      <c r="C19" s="10"/>
      <c r="D19" s="10"/>
      <c r="E19" s="54"/>
    </row>
    <row r="20" spans="2:5" customFormat="1" x14ac:dyDescent="0.3">
      <c r="B20" s="53"/>
      <c r="C20" s="10"/>
      <c r="D20" s="10"/>
      <c r="E20" s="54"/>
    </row>
    <row r="21" spans="2:5" customFormat="1" x14ac:dyDescent="0.3">
      <c r="B21" s="53"/>
      <c r="C21" s="10"/>
      <c r="D21" s="10"/>
      <c r="E21" s="54"/>
    </row>
    <row r="22" spans="2:5" customFormat="1" x14ac:dyDescent="0.3">
      <c r="B22" s="53"/>
      <c r="C22" s="10"/>
      <c r="D22" s="10"/>
      <c r="E22" s="54"/>
    </row>
    <row r="23" spans="2:5" customFormat="1" x14ac:dyDescent="0.3">
      <c r="B23" s="53"/>
      <c r="C23" s="10"/>
      <c r="D23" s="10"/>
      <c r="E23" s="54"/>
    </row>
    <row r="24" spans="2:5" customFormat="1" x14ac:dyDescent="0.3">
      <c r="B24" s="53"/>
      <c r="C24" s="10"/>
      <c r="D24" s="10"/>
      <c r="E24" s="54"/>
    </row>
    <row r="25" spans="2:5" customFormat="1" x14ac:dyDescent="0.3">
      <c r="B25" s="53"/>
      <c r="C25" s="10"/>
      <c r="D25" s="10"/>
      <c r="E25" s="54"/>
    </row>
    <row r="26" spans="2:5" customFormat="1" x14ac:dyDescent="0.3">
      <c r="B26" s="53"/>
      <c r="C26" s="10"/>
      <c r="D26" s="10"/>
      <c r="E26" s="54"/>
    </row>
    <row r="27" spans="2:5" customFormat="1" x14ac:dyDescent="0.3">
      <c r="B27" s="53"/>
      <c r="C27" s="10"/>
      <c r="D27" s="10"/>
      <c r="E27" s="54"/>
    </row>
    <row r="28" spans="2:5" customFormat="1" x14ac:dyDescent="0.3">
      <c r="B28" s="53"/>
      <c r="C28" s="10"/>
      <c r="D28" s="10"/>
      <c r="E28" s="54"/>
    </row>
    <row r="29" spans="2:5" customFormat="1" x14ac:dyDescent="0.3">
      <c r="B29" s="53"/>
      <c r="C29" s="10"/>
      <c r="D29" s="10"/>
      <c r="E29" s="54"/>
    </row>
    <row r="30" spans="2:5" ht="17.25" customHeight="1" x14ac:dyDescent="0.3"/>
    <row r="31" spans="2:5" ht="17.25" customHeight="1" x14ac:dyDescent="0.3"/>
    <row r="32" spans="2:5" ht="17.25" customHeight="1" x14ac:dyDescent="0.3"/>
    <row r="33" ht="17.25" customHeight="1" x14ac:dyDescent="0.3"/>
    <row r="34" ht="17.25" customHeight="1" x14ac:dyDescent="0.3"/>
    <row r="35" ht="17.25" customHeight="1" x14ac:dyDescent="0.3"/>
    <row r="36" ht="17.25" customHeight="1" x14ac:dyDescent="0.3"/>
    <row r="37" ht="17.25" customHeight="1" x14ac:dyDescent="0.3"/>
    <row r="38" ht="17.25" customHeight="1" x14ac:dyDescent="0.3"/>
    <row r="39" ht="17.25" customHeight="1" x14ac:dyDescent="0.3"/>
    <row r="40" ht="17.25" customHeight="1" x14ac:dyDescent="0.3"/>
    <row r="41" ht="17.25" customHeight="1" x14ac:dyDescent="0.3"/>
    <row r="42" ht="17.25" customHeight="1" x14ac:dyDescent="0.3"/>
    <row r="43" ht="17.25" customHeight="1" x14ac:dyDescent="0.3"/>
    <row r="44" ht="17.25" customHeight="1" x14ac:dyDescent="0.3"/>
    <row r="45" ht="17.25" customHeight="1" x14ac:dyDescent="0.3"/>
    <row r="46" ht="17.2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7.25" customHeight="1" x14ac:dyDescent="0.3"/>
    <row r="57" ht="17.25" customHeight="1" x14ac:dyDescent="0.3"/>
    <row r="58" ht="17.25" customHeight="1" x14ac:dyDescent="0.3"/>
    <row r="59" ht="17.25" customHeight="1" x14ac:dyDescent="0.3"/>
    <row r="60" ht="17.25" customHeight="1" x14ac:dyDescent="0.3"/>
    <row r="61" ht="17.25" customHeight="1" x14ac:dyDescent="0.3"/>
    <row r="62" ht="17.25" customHeight="1" x14ac:dyDescent="0.3"/>
    <row r="63" ht="17.25" customHeight="1" x14ac:dyDescent="0.3"/>
    <row r="64" ht="17.25" customHeight="1" x14ac:dyDescent="0.3"/>
    <row r="65" ht="17.25" customHeight="1" x14ac:dyDescent="0.3"/>
    <row r="66" ht="17.25" customHeight="1" x14ac:dyDescent="0.3"/>
    <row r="67" ht="17.25" customHeight="1" x14ac:dyDescent="0.3"/>
    <row r="68" ht="17.25" customHeight="1" x14ac:dyDescent="0.3"/>
    <row r="69" ht="17.25" customHeight="1" x14ac:dyDescent="0.3"/>
    <row r="70" ht="17.25" customHeight="1" x14ac:dyDescent="0.3"/>
    <row r="71" ht="17.25" customHeight="1" x14ac:dyDescent="0.3"/>
    <row r="72" ht="17.2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7.25" customHeight="1" x14ac:dyDescent="0.3"/>
    <row r="80" ht="17.25" customHeight="1" x14ac:dyDescent="0.3"/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8F47-FADD-4444-81AC-F7695A0AEC03}">
  <sheetPr>
    <pageSetUpPr fitToPage="1"/>
  </sheetPr>
  <dimension ref="B2:AE50"/>
  <sheetViews>
    <sheetView tabSelected="1" zoomScale="55" zoomScaleNormal="55" zoomScaleSheetLayoutView="70" workbookViewId="0">
      <pane ySplit="3" topLeftCell="A4" activePane="bottomLeft" state="frozen"/>
      <selection pane="bottomLeft" activeCell="P19" sqref="P19"/>
    </sheetView>
  </sheetViews>
  <sheetFormatPr defaultRowHeight="16.5" x14ac:dyDescent="0.3"/>
  <cols>
    <col min="1" max="1" width="3.25" customWidth="1"/>
    <col min="2" max="2" width="36" customWidth="1"/>
    <col min="3" max="3" width="0.5" customWidth="1"/>
    <col min="4" max="4" width="14.5" bestFit="1" customWidth="1"/>
    <col min="5" max="5" width="26.125" customWidth="1"/>
    <col min="6" max="6" width="18.625" customWidth="1"/>
    <col min="7" max="7" width="0.5" customWidth="1"/>
    <col min="8" max="8" width="14.5" bestFit="1" customWidth="1"/>
    <col min="9" max="9" width="26.125" customWidth="1"/>
    <col min="10" max="10" width="18.625" customWidth="1"/>
    <col min="11" max="11" width="0.5" customWidth="1"/>
    <col min="12" max="12" width="14.5" bestFit="1" customWidth="1"/>
    <col min="13" max="13" width="26.125" customWidth="1"/>
    <col min="14" max="14" width="18.625" customWidth="1"/>
    <col min="15" max="15" width="0.5" customWidth="1"/>
    <col min="16" max="16" width="66.75" customWidth="1"/>
    <col min="17" max="17" width="0.5" customWidth="1"/>
    <col min="18" max="19" width="7.625" customWidth="1"/>
    <col min="20" max="20" width="10.625" customWidth="1"/>
    <col min="21" max="21" width="7.625" customWidth="1"/>
    <col min="22" max="23" width="10.625" customWidth="1"/>
    <col min="24" max="24" width="0.5" customWidth="1"/>
    <col min="25" max="26" width="10.625" customWidth="1"/>
    <col min="27" max="27" width="10.75" customWidth="1"/>
    <col min="28" max="31" width="8.625" customWidth="1"/>
    <col min="32" max="32" width="7.875" customWidth="1"/>
    <col min="35" max="35" width="13.625" customWidth="1"/>
  </cols>
  <sheetData>
    <row r="2" spans="2:31" ht="35.1" customHeight="1" x14ac:dyDescent="0.3">
      <c r="B2" s="49" t="s">
        <v>27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1"/>
    </row>
    <row r="3" spans="2:31" s="2" customFormat="1" ht="20.100000000000001" customHeight="1" x14ac:dyDescent="0.3">
      <c r="B3" s="44" t="s">
        <v>0</v>
      </c>
      <c r="C3" s="44"/>
      <c r="D3" s="44" t="s">
        <v>43</v>
      </c>
      <c r="E3" s="44" t="s">
        <v>45</v>
      </c>
      <c r="F3" s="44" t="s">
        <v>36</v>
      </c>
      <c r="G3" s="44"/>
      <c r="H3" s="44" t="s">
        <v>44</v>
      </c>
      <c r="I3" s="44" t="s">
        <v>46</v>
      </c>
      <c r="J3" s="44" t="s">
        <v>37</v>
      </c>
      <c r="K3" s="44"/>
      <c r="L3" s="44" t="s">
        <v>52</v>
      </c>
      <c r="M3" s="44" t="s">
        <v>51</v>
      </c>
      <c r="N3" s="44" t="s">
        <v>53</v>
      </c>
      <c r="O3" s="44"/>
      <c r="P3" s="44" t="s">
        <v>1</v>
      </c>
      <c r="Q3" s="44"/>
      <c r="R3" s="44" t="s">
        <v>2</v>
      </c>
      <c r="S3" s="44" t="s">
        <v>3</v>
      </c>
      <c r="T3" s="44" t="s">
        <v>4</v>
      </c>
      <c r="U3" s="44" t="s">
        <v>5</v>
      </c>
      <c r="V3" s="44" t="s">
        <v>6</v>
      </c>
      <c r="W3" s="44" t="s">
        <v>13</v>
      </c>
      <c r="X3" s="44"/>
      <c r="Y3" s="45" t="s">
        <v>6</v>
      </c>
      <c r="Z3" s="46" t="s">
        <v>7</v>
      </c>
      <c r="AA3" s="47" t="s">
        <v>8</v>
      </c>
      <c r="AB3" s="48" t="s">
        <v>9</v>
      </c>
      <c r="AC3" s="48" t="s">
        <v>10</v>
      </c>
      <c r="AD3" s="48" t="s">
        <v>11</v>
      </c>
      <c r="AE3" s="48" t="s">
        <v>12</v>
      </c>
    </row>
    <row r="4" spans="2:31" s="3" customFormat="1" ht="27" customHeight="1" x14ac:dyDescent="0.3">
      <c r="B4" s="35" t="s">
        <v>14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 spans="2:31" s="1" customFormat="1" ht="17.25" x14ac:dyDescent="0.3">
      <c r="B5" s="4" t="s">
        <v>15</v>
      </c>
      <c r="C5" s="4"/>
      <c r="D5" s="4" t="s">
        <v>108</v>
      </c>
      <c r="E5" s="4" t="s">
        <v>109</v>
      </c>
      <c r="F5" s="4" t="s">
        <v>105</v>
      </c>
      <c r="G5" s="4"/>
      <c r="H5" s="4" t="s">
        <v>137</v>
      </c>
      <c r="I5" s="4" t="s">
        <v>138</v>
      </c>
      <c r="J5" s="4" t="s">
        <v>139</v>
      </c>
      <c r="K5" s="4"/>
      <c r="L5" s="4" t="s">
        <v>140</v>
      </c>
      <c r="M5" s="4" t="s">
        <v>138</v>
      </c>
      <c r="N5" s="4" t="s">
        <v>139</v>
      </c>
      <c r="O5" s="4"/>
      <c r="P5" s="4"/>
      <c r="Q5" s="4"/>
      <c r="R5" s="5">
        <v>208</v>
      </c>
      <c r="S5" s="5">
        <v>3</v>
      </c>
      <c r="T5" s="6">
        <v>1.25</v>
      </c>
      <c r="U5" s="7"/>
      <c r="V5" s="5"/>
      <c r="W5" s="6"/>
      <c r="X5" s="4"/>
      <c r="Y5" s="8">
        <f>SUM(Y13:Y48)</f>
        <v>9607.5920000000006</v>
      </c>
      <c r="Z5" s="9">
        <f>IF(Y5&gt;0,Y5/R5/IF(S5=3,"1.732",IF(S5=1,"1")),0)</f>
        <v>26.668791081897318</v>
      </c>
      <c r="AA5" s="9">
        <f>IF(Y5&gt;0,Y5*T5/R5/IF(S5=3,"1.732",IF(S5=1,"1")),0)</f>
        <v>33.335988852371649</v>
      </c>
      <c r="AB5" s="9">
        <f>SUM(AB13:AB48)</f>
        <v>27.560568218155982</v>
      </c>
      <c r="AC5" s="9">
        <f>SUM(AC13:AC48)</f>
        <v>28.690568218155981</v>
      </c>
      <c r="AD5" s="9">
        <f>SUM(AD13:AD48)</f>
        <v>29.303298987386746</v>
      </c>
      <c r="AE5" s="9">
        <f>SUM(AE13:AE48)</f>
        <v>0</v>
      </c>
    </row>
    <row r="6" spans="2:31" s="15" customFormat="1" ht="17.25" x14ac:dyDescent="0.3">
      <c r="B6" s="4" t="s">
        <v>16</v>
      </c>
      <c r="C6" s="4"/>
      <c r="D6" s="4"/>
      <c r="E6" s="10"/>
      <c r="F6" s="10"/>
      <c r="G6" s="4"/>
      <c r="H6" s="4"/>
      <c r="I6" s="10"/>
      <c r="J6" s="10"/>
      <c r="K6" s="4"/>
      <c r="L6" s="4"/>
      <c r="M6" s="10"/>
      <c r="N6" s="10"/>
      <c r="O6" s="4"/>
      <c r="P6" s="10"/>
      <c r="Q6" s="4"/>
      <c r="R6" s="10"/>
      <c r="S6" s="10"/>
      <c r="T6" s="11"/>
      <c r="U6" s="12"/>
      <c r="V6" s="13"/>
      <c r="W6" s="16"/>
      <c r="X6" s="4"/>
      <c r="Y6" s="13"/>
      <c r="Z6" s="5"/>
      <c r="AA6" s="14"/>
      <c r="AB6" s="11"/>
      <c r="AC6" s="11"/>
      <c r="AD6" s="11"/>
      <c r="AE6" s="11"/>
    </row>
    <row r="7" spans="2:31" s="15" customFormat="1" ht="17.25" x14ac:dyDescent="0.3">
      <c r="B7" s="4" t="s">
        <v>17</v>
      </c>
      <c r="C7" s="4"/>
      <c r="D7" s="4"/>
      <c r="E7" s="10"/>
      <c r="F7" s="10"/>
      <c r="G7" s="4"/>
      <c r="H7" s="4"/>
      <c r="I7" s="10"/>
      <c r="J7" s="10"/>
      <c r="K7" s="4"/>
      <c r="L7" s="4"/>
      <c r="M7" s="10"/>
      <c r="N7" s="10"/>
      <c r="O7" s="4"/>
      <c r="P7" s="10"/>
      <c r="Q7" s="4"/>
      <c r="R7" s="10"/>
      <c r="S7" s="10"/>
      <c r="T7" s="11"/>
      <c r="U7" s="17"/>
      <c r="V7" s="13"/>
      <c r="W7" s="16"/>
      <c r="X7" s="4"/>
      <c r="Y7" s="13"/>
      <c r="Z7" s="8"/>
      <c r="AA7" s="14">
        <f>(MAX(AB5:AD5)-MIN(AB5:AD5))/AVERAGE(AB5:AD5)</f>
        <v>6.1109541332372293E-2</v>
      </c>
      <c r="AB7" s="11"/>
      <c r="AC7" s="11"/>
      <c r="AD7" s="11"/>
      <c r="AE7" s="11"/>
    </row>
    <row r="8" spans="2:31" s="15" customFormat="1" ht="17.25" x14ac:dyDescent="0.3">
      <c r="B8" s="36" t="s">
        <v>35</v>
      </c>
      <c r="C8" s="36"/>
      <c r="D8" s="36"/>
      <c r="E8" s="18"/>
      <c r="F8" s="18"/>
      <c r="G8" s="36"/>
      <c r="H8" s="36"/>
      <c r="I8" s="18"/>
      <c r="J8" s="18"/>
      <c r="K8" s="36"/>
      <c r="L8" s="36"/>
      <c r="M8" s="18"/>
      <c r="N8" s="18"/>
      <c r="O8" s="36"/>
      <c r="P8" s="18"/>
      <c r="Q8" s="36"/>
      <c r="R8" s="18"/>
      <c r="S8" s="18"/>
      <c r="T8" s="19"/>
      <c r="U8" s="20"/>
      <c r="V8" s="24"/>
      <c r="W8" s="39"/>
      <c r="X8" s="36"/>
      <c r="Y8" s="41">
        <f>IF(V8&gt;0,V8,R8*W8*IF(S8=3,"1.732",IF(S8=1,"1")))</f>
        <v>0</v>
      </c>
      <c r="Z8" s="21">
        <f>IF(Y8&gt;0,Y8/R8/IF(S8=3,"1.732",IF(S8=1,"1")),0)</f>
        <v>0</v>
      </c>
      <c r="AA8" s="22">
        <f>IF(Y8&gt;0,Y8*T8/R8/IF(S8=3,"1.732",IF(S8=1,"1")),0)</f>
        <v>0</v>
      </c>
      <c r="AB8" s="23">
        <f>IF(COUNTIF(U8,"*R*")&gt;0,Z8,0)</f>
        <v>0</v>
      </c>
      <c r="AC8" s="23">
        <f>IF(COUNTIF(U8,"*S*")&gt;0,Z8,0)</f>
        <v>0</v>
      </c>
      <c r="AD8" s="23">
        <f>IF(COUNTIF(U8,"*T*")&gt;0,Z8,0)</f>
        <v>0</v>
      </c>
      <c r="AE8" s="23">
        <f>IF(COUNTIF(U8,"*N*")&gt;0,AA8,0)</f>
        <v>0</v>
      </c>
    </row>
    <row r="9" spans="2:31" s="15" customFormat="1" ht="17.25" x14ac:dyDescent="0.3">
      <c r="B9" s="4" t="s">
        <v>34</v>
      </c>
      <c r="C9" s="4"/>
      <c r="D9" s="4"/>
      <c r="E9" s="10"/>
      <c r="F9" s="10"/>
      <c r="G9" s="4"/>
      <c r="H9" s="4"/>
      <c r="I9" s="10"/>
      <c r="J9" s="10"/>
      <c r="K9" s="4"/>
      <c r="L9" s="4" t="s">
        <v>230</v>
      </c>
      <c r="M9" s="10"/>
      <c r="N9" s="10"/>
      <c r="O9" s="4"/>
      <c r="P9" s="38" t="s">
        <v>83</v>
      </c>
      <c r="Q9" s="4"/>
      <c r="R9" s="10"/>
      <c r="S9" s="10"/>
      <c r="T9" s="11"/>
      <c r="U9" s="17"/>
      <c r="V9" s="13"/>
      <c r="W9" s="16"/>
      <c r="X9" s="4"/>
      <c r="Y9" s="41">
        <f t="shared" ref="Y9:Y11" si="0">IF(V9&gt;0,V9,R9*W9*IF(S9=3,"1.732",IF(S9=1,"1")))</f>
        <v>0</v>
      </c>
      <c r="Z9" s="21">
        <f t="shared" ref="Z9:Z11" si="1">IF(Y9&gt;0,Y9/R9/IF(S9=3,"1.732",IF(S9=1,"1")),0)</f>
        <v>0</v>
      </c>
      <c r="AA9" s="22">
        <f t="shared" ref="AA9:AA11" si="2">IF(Y9&gt;0,Y9*T9/R9/IF(S9=3,"1.732",IF(S9=1,"1")),0)</f>
        <v>0</v>
      </c>
      <c r="AB9" s="23">
        <f t="shared" ref="AB9:AB11" si="3">IF(COUNTIF(U9,"*R*")&gt;0,Z9,0)</f>
        <v>0</v>
      </c>
      <c r="AC9" s="23">
        <f t="shared" ref="AC9:AC11" si="4">IF(COUNTIF(U9,"*S*")&gt;0,Z9,0)</f>
        <v>0</v>
      </c>
      <c r="AD9" s="23">
        <f t="shared" ref="AD9:AD11" si="5">IF(COUNTIF(U9,"*T*")&gt;0,Z9,0)</f>
        <v>0</v>
      </c>
      <c r="AE9" s="23">
        <f t="shared" ref="AE9:AE11" si="6">IF(COUNTIF(U9,"*N*")&gt;0,AA9,0)</f>
        <v>0</v>
      </c>
    </row>
    <row r="10" spans="2:31" s="15" customFormat="1" ht="17.25" x14ac:dyDescent="0.3">
      <c r="B10" s="4" t="s">
        <v>32</v>
      </c>
      <c r="C10" s="4"/>
      <c r="D10" s="4"/>
      <c r="E10" s="10"/>
      <c r="F10" s="10"/>
      <c r="G10" s="4"/>
      <c r="H10" s="4"/>
      <c r="I10" s="10"/>
      <c r="J10" s="10"/>
      <c r="K10" s="4"/>
      <c r="L10" s="4" t="s">
        <v>231</v>
      </c>
      <c r="M10" s="10"/>
      <c r="N10" s="10"/>
      <c r="O10" s="4"/>
      <c r="P10" s="38" t="s">
        <v>281</v>
      </c>
      <c r="Q10" s="4"/>
      <c r="R10" s="10"/>
      <c r="S10" s="10"/>
      <c r="T10" s="11"/>
      <c r="U10" s="17"/>
      <c r="V10" s="13"/>
      <c r="W10" s="16"/>
      <c r="X10" s="4"/>
      <c r="Y10" s="41">
        <f t="shared" si="0"/>
        <v>0</v>
      </c>
      <c r="Z10" s="21">
        <f t="shared" si="1"/>
        <v>0</v>
      </c>
      <c r="AA10" s="22">
        <f t="shared" si="2"/>
        <v>0</v>
      </c>
      <c r="AB10" s="23">
        <f t="shared" si="3"/>
        <v>0</v>
      </c>
      <c r="AC10" s="23">
        <f t="shared" si="4"/>
        <v>0</v>
      </c>
      <c r="AD10" s="23">
        <f t="shared" si="5"/>
        <v>0</v>
      </c>
      <c r="AE10" s="23">
        <f t="shared" si="6"/>
        <v>0</v>
      </c>
    </row>
    <row r="11" spans="2:31" s="15" customFormat="1" ht="17.25" x14ac:dyDescent="0.3">
      <c r="B11" s="4" t="s">
        <v>33</v>
      </c>
      <c r="C11" s="4"/>
      <c r="D11" s="4"/>
      <c r="E11" s="10"/>
      <c r="F11" s="10"/>
      <c r="G11" s="4"/>
      <c r="H11" s="4"/>
      <c r="I11" s="10"/>
      <c r="J11" s="10"/>
      <c r="K11" s="4"/>
      <c r="L11" s="4" t="s">
        <v>232</v>
      </c>
      <c r="M11" s="10"/>
      <c r="N11" s="10"/>
      <c r="O11" s="4"/>
      <c r="P11" s="38" t="s">
        <v>281</v>
      </c>
      <c r="Q11" s="4"/>
      <c r="R11" s="10"/>
      <c r="S11" s="10"/>
      <c r="T11" s="11"/>
      <c r="U11" s="17"/>
      <c r="V11" s="13"/>
      <c r="W11" s="16"/>
      <c r="X11" s="4"/>
      <c r="Y11" s="41">
        <f t="shared" si="0"/>
        <v>0</v>
      </c>
      <c r="Z11" s="21">
        <f t="shared" si="1"/>
        <v>0</v>
      </c>
      <c r="AA11" s="22">
        <f t="shared" si="2"/>
        <v>0</v>
      </c>
      <c r="AB11" s="23">
        <f t="shared" si="3"/>
        <v>0</v>
      </c>
      <c r="AC11" s="23">
        <f t="shared" si="4"/>
        <v>0</v>
      </c>
      <c r="AD11" s="23">
        <f t="shared" si="5"/>
        <v>0</v>
      </c>
      <c r="AE11" s="23">
        <f t="shared" si="6"/>
        <v>0</v>
      </c>
    </row>
    <row r="12" spans="2:31" s="15" customFormat="1" ht="17.25" x14ac:dyDescent="0.3">
      <c r="B12" s="4"/>
      <c r="C12" s="4"/>
      <c r="D12" s="4"/>
      <c r="E12" s="10"/>
      <c r="F12" s="10"/>
      <c r="G12" s="4"/>
      <c r="H12" s="4"/>
      <c r="I12" s="10"/>
      <c r="J12" s="10"/>
      <c r="K12" s="4"/>
      <c r="L12" s="4"/>
      <c r="M12" s="10"/>
      <c r="N12" s="10"/>
      <c r="O12" s="4"/>
      <c r="P12" s="10"/>
      <c r="Q12" s="4"/>
      <c r="R12" s="10"/>
      <c r="S12" s="10"/>
      <c r="T12" s="11"/>
      <c r="U12" s="17"/>
      <c r="V12" s="13"/>
      <c r="W12" s="16"/>
      <c r="X12" s="4"/>
      <c r="Y12" s="41">
        <f t="shared" ref="Y12:Y16" si="7">IF(V12&gt;0,V12,R12*W12*IF(S12=3,"1.732",IF(S12=1,"1")))</f>
        <v>0</v>
      </c>
      <c r="Z12" s="21">
        <f t="shared" ref="Z12:Z16" si="8">IF(Y12&gt;0,Y12/R12/IF(S12=3,"1.732",IF(S12=1,"1")),0)</f>
        <v>0</v>
      </c>
      <c r="AA12" s="22">
        <f t="shared" ref="AA12:AA16" si="9">IF(Y12&gt;0,Y12*T12/R12/IF(S12=3,"1.732",IF(S12=1,"1")),0)</f>
        <v>0</v>
      </c>
      <c r="AB12" s="23">
        <f t="shared" ref="AB12:AB16" si="10">IF(COUNTIF(U12,"*R*")&gt;0,Z12,0)</f>
        <v>0</v>
      </c>
      <c r="AC12" s="23">
        <f t="shared" ref="AC12:AC16" si="11">IF(COUNTIF(U12,"*S*")&gt;0,Z12,0)</f>
        <v>0</v>
      </c>
      <c r="AD12" s="23">
        <f t="shared" ref="AD12:AD16" si="12">IF(COUNTIF(U12,"*T*")&gt;0,Z12,0)</f>
        <v>0</v>
      </c>
      <c r="AE12" s="23">
        <f t="shared" ref="AE12:AE16" si="13">IF(COUNTIF(U12,"*N*")&gt;0,AA12,0)</f>
        <v>0</v>
      </c>
    </row>
    <row r="13" spans="2:31" s="15" customFormat="1" ht="17.25" x14ac:dyDescent="0.3">
      <c r="B13" s="36" t="s">
        <v>18</v>
      </c>
      <c r="C13" s="36"/>
      <c r="D13" s="36"/>
      <c r="E13" s="18"/>
      <c r="F13" s="18"/>
      <c r="G13" s="36"/>
      <c r="H13" s="36"/>
      <c r="I13" s="18"/>
      <c r="J13" s="18"/>
      <c r="K13" s="36"/>
      <c r="L13" s="36"/>
      <c r="M13" s="18"/>
      <c r="N13" s="18"/>
      <c r="O13" s="36"/>
      <c r="P13" s="18"/>
      <c r="Q13" s="36"/>
      <c r="R13" s="18"/>
      <c r="S13" s="18"/>
      <c r="T13" s="19"/>
      <c r="U13" s="20"/>
      <c r="V13" s="24"/>
      <c r="W13" s="39"/>
      <c r="X13" s="36"/>
      <c r="Y13" s="41">
        <f t="shared" si="7"/>
        <v>0</v>
      </c>
      <c r="Z13" s="21">
        <f t="shared" si="8"/>
        <v>0</v>
      </c>
      <c r="AA13" s="22">
        <f t="shared" si="9"/>
        <v>0</v>
      </c>
      <c r="AB13" s="23">
        <f t="shared" si="10"/>
        <v>0</v>
      </c>
      <c r="AC13" s="23">
        <f t="shared" si="11"/>
        <v>0</v>
      </c>
      <c r="AD13" s="23">
        <f t="shared" si="12"/>
        <v>0</v>
      </c>
      <c r="AE13" s="23">
        <f t="shared" si="13"/>
        <v>0</v>
      </c>
    </row>
    <row r="14" spans="2:31" s="15" customFormat="1" ht="17.25" x14ac:dyDescent="0.3">
      <c r="B14" s="37" t="s">
        <v>19</v>
      </c>
      <c r="C14" s="37"/>
      <c r="D14" s="37"/>
      <c r="E14" s="25"/>
      <c r="F14" s="25"/>
      <c r="G14" s="37"/>
      <c r="H14" s="37"/>
      <c r="I14" s="25"/>
      <c r="J14" s="25"/>
      <c r="K14" s="37"/>
      <c r="L14" s="37"/>
      <c r="M14" s="25"/>
      <c r="N14" s="25"/>
      <c r="O14" s="37"/>
      <c r="P14" s="25"/>
      <c r="Q14" s="37"/>
      <c r="R14" s="25"/>
      <c r="S14" s="25"/>
      <c r="T14" s="26"/>
      <c r="U14" s="27"/>
      <c r="V14" s="28"/>
      <c r="W14" s="40"/>
      <c r="X14" s="37"/>
      <c r="Y14" s="41">
        <f t="shared" si="7"/>
        <v>0</v>
      </c>
      <c r="Z14" s="21">
        <f t="shared" si="8"/>
        <v>0</v>
      </c>
      <c r="AA14" s="22">
        <f t="shared" si="9"/>
        <v>0</v>
      </c>
      <c r="AB14" s="23">
        <f t="shared" si="10"/>
        <v>0</v>
      </c>
      <c r="AC14" s="23">
        <f t="shared" si="11"/>
        <v>0</v>
      </c>
      <c r="AD14" s="23">
        <f t="shared" si="12"/>
        <v>0</v>
      </c>
      <c r="AE14" s="23">
        <f t="shared" si="13"/>
        <v>0</v>
      </c>
    </row>
    <row r="15" spans="2:31" s="15" customFormat="1" ht="17.25" x14ac:dyDescent="0.3">
      <c r="B15" s="29" t="s">
        <v>20</v>
      </c>
      <c r="C15" s="29"/>
      <c r="D15" s="29" t="s">
        <v>84</v>
      </c>
      <c r="E15" s="10" t="s">
        <v>62</v>
      </c>
      <c r="F15" s="10" t="s">
        <v>65</v>
      </c>
      <c r="G15" s="29"/>
      <c r="H15" s="29" t="s">
        <v>85</v>
      </c>
      <c r="I15" s="10" t="s">
        <v>60</v>
      </c>
      <c r="J15" s="10" t="s">
        <v>68</v>
      </c>
      <c r="K15" s="29"/>
      <c r="L15" s="42" t="s">
        <v>86</v>
      </c>
      <c r="M15" s="29" t="s">
        <v>87</v>
      </c>
      <c r="N15" s="29" t="s">
        <v>88</v>
      </c>
      <c r="O15" s="29"/>
      <c r="P15" s="29"/>
      <c r="Q15" s="29"/>
      <c r="R15" s="30">
        <v>208</v>
      </c>
      <c r="S15" s="30">
        <v>1</v>
      </c>
      <c r="T15" s="31">
        <v>1.25</v>
      </c>
      <c r="U15" s="32" t="s">
        <v>21</v>
      </c>
      <c r="V15" s="30"/>
      <c r="W15" s="31">
        <v>1.26</v>
      </c>
      <c r="X15" s="29"/>
      <c r="Y15" s="41">
        <f t="shared" si="7"/>
        <v>262.08</v>
      </c>
      <c r="Z15" s="21">
        <f t="shared" si="8"/>
        <v>1.26</v>
      </c>
      <c r="AA15" s="22">
        <f t="shared" si="9"/>
        <v>1.5749999999999997</v>
      </c>
      <c r="AB15" s="23">
        <f t="shared" si="10"/>
        <v>1.26</v>
      </c>
      <c r="AC15" s="23">
        <f t="shared" si="11"/>
        <v>1.26</v>
      </c>
      <c r="AD15" s="23">
        <f t="shared" si="12"/>
        <v>0</v>
      </c>
      <c r="AE15" s="23">
        <f t="shared" si="13"/>
        <v>0</v>
      </c>
    </row>
    <row r="16" spans="2:31" s="15" customFormat="1" ht="17.25" x14ac:dyDescent="0.3">
      <c r="B16" s="29"/>
      <c r="C16" s="29"/>
      <c r="D16" s="42" t="s">
        <v>98</v>
      </c>
      <c r="E16" s="10" t="s">
        <v>62</v>
      </c>
      <c r="F16" s="10" t="s">
        <v>65</v>
      </c>
      <c r="G16" s="29"/>
      <c r="H16" s="29"/>
      <c r="I16" s="29"/>
      <c r="J16" s="29"/>
      <c r="K16" s="29"/>
      <c r="L16" s="29" t="s">
        <v>95</v>
      </c>
      <c r="M16" s="29" t="s">
        <v>93</v>
      </c>
      <c r="N16" s="29" t="s">
        <v>94</v>
      </c>
      <c r="O16" s="29"/>
      <c r="P16" s="29"/>
      <c r="Q16" s="29"/>
      <c r="R16" s="30"/>
      <c r="S16" s="30"/>
      <c r="T16" s="31"/>
      <c r="U16" s="32"/>
      <c r="V16" s="30"/>
      <c r="W16" s="31"/>
      <c r="X16" s="29"/>
      <c r="Y16" s="41">
        <f t="shared" si="7"/>
        <v>0</v>
      </c>
      <c r="Z16" s="21">
        <f t="shared" si="8"/>
        <v>0</v>
      </c>
      <c r="AA16" s="22">
        <f t="shared" si="9"/>
        <v>0</v>
      </c>
      <c r="AB16" s="23">
        <f t="shared" si="10"/>
        <v>0</v>
      </c>
      <c r="AC16" s="23">
        <f t="shared" si="11"/>
        <v>0</v>
      </c>
      <c r="AD16" s="23">
        <f t="shared" si="12"/>
        <v>0</v>
      </c>
      <c r="AE16" s="23">
        <f t="shared" si="13"/>
        <v>0</v>
      </c>
    </row>
    <row r="17" spans="2:31" s="15" customFormat="1" ht="17.25" x14ac:dyDescent="0.3">
      <c r="B17" s="29"/>
      <c r="C17" s="29"/>
      <c r="D17" s="42" t="s">
        <v>99</v>
      </c>
      <c r="E17" s="10" t="s">
        <v>64</v>
      </c>
      <c r="F17" s="10" t="s">
        <v>65</v>
      </c>
      <c r="G17" s="29"/>
      <c r="H17" s="29"/>
      <c r="I17" s="29"/>
      <c r="J17" s="29"/>
      <c r="K17" s="29"/>
      <c r="L17" s="29" t="s">
        <v>91</v>
      </c>
      <c r="M17" s="29" t="s">
        <v>89</v>
      </c>
      <c r="N17" s="29" t="s">
        <v>90</v>
      </c>
      <c r="O17" s="29"/>
      <c r="P17" s="29"/>
      <c r="Q17" s="29"/>
      <c r="R17" s="30"/>
      <c r="S17" s="30"/>
      <c r="T17" s="31"/>
      <c r="U17" s="32"/>
      <c r="V17" s="30"/>
      <c r="W17" s="31"/>
      <c r="X17" s="29"/>
      <c r="Y17" s="41">
        <f t="shared" ref="Y17:Y48" si="14">IF(V17&gt;0,V17,R17*W17*IF(S17=3,"1.732",IF(S17=1,"1")))</f>
        <v>0</v>
      </c>
      <c r="Z17" s="21">
        <f t="shared" ref="Z17:Z48" si="15">IF(Y17&gt;0,Y17/R17/IF(S17=3,"1.732",IF(S17=1,"1")),0)</f>
        <v>0</v>
      </c>
      <c r="AA17" s="22">
        <f t="shared" ref="AA17:AA48" si="16">IF(Y17&gt;0,Y17*T17/R17/IF(S17=3,"1.732",IF(S17=1,"1")),0)</f>
        <v>0</v>
      </c>
      <c r="AB17" s="23">
        <f t="shared" ref="AB17:AB48" si="17">IF(COUNTIF(U17,"*R*")&gt;0,Z17,0)</f>
        <v>0</v>
      </c>
      <c r="AC17" s="23">
        <f t="shared" ref="AC17:AC48" si="18">IF(COUNTIF(U17,"*S*")&gt;0,Z17,0)</f>
        <v>0</v>
      </c>
      <c r="AD17" s="23">
        <f t="shared" ref="AD17:AD48" si="19">IF(COUNTIF(U17,"*T*")&gt;0,Z17,0)</f>
        <v>0</v>
      </c>
      <c r="AE17" s="23">
        <f t="shared" ref="AE17:AE48" si="20">IF(COUNTIF(U17,"*N*")&gt;0,AA17,0)</f>
        <v>0</v>
      </c>
    </row>
    <row r="18" spans="2:31" s="15" customFormat="1" ht="17.25" x14ac:dyDescent="0.3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 t="s">
        <v>92</v>
      </c>
      <c r="M18" s="29" t="s">
        <v>89</v>
      </c>
      <c r="N18" s="29" t="s">
        <v>90</v>
      </c>
      <c r="O18" s="29"/>
      <c r="P18" s="29"/>
      <c r="Q18" s="29"/>
      <c r="R18" s="30"/>
      <c r="S18" s="30"/>
      <c r="T18" s="31"/>
      <c r="U18" s="32"/>
      <c r="V18" s="30"/>
      <c r="W18" s="31"/>
      <c r="X18" s="29"/>
      <c r="Y18" s="41">
        <f t="shared" si="14"/>
        <v>0</v>
      </c>
      <c r="Z18" s="21">
        <f t="shared" si="15"/>
        <v>0</v>
      </c>
      <c r="AA18" s="22">
        <f t="shared" si="16"/>
        <v>0</v>
      </c>
      <c r="AB18" s="23">
        <f t="shared" si="17"/>
        <v>0</v>
      </c>
      <c r="AC18" s="23">
        <f t="shared" si="18"/>
        <v>0</v>
      </c>
      <c r="AD18" s="23">
        <f t="shared" si="19"/>
        <v>0</v>
      </c>
      <c r="AE18" s="23">
        <f t="shared" si="20"/>
        <v>0</v>
      </c>
    </row>
    <row r="19" spans="2:31" s="15" customFormat="1" ht="17.25" x14ac:dyDescent="0.3">
      <c r="B19" s="29" t="s">
        <v>22</v>
      </c>
      <c r="C19" s="29"/>
      <c r="D19" s="29" t="s">
        <v>100</v>
      </c>
      <c r="E19" s="10" t="s">
        <v>62</v>
      </c>
      <c r="F19" s="10" t="s">
        <v>65</v>
      </c>
      <c r="G19" s="29"/>
      <c r="H19" s="29"/>
      <c r="I19" s="29"/>
      <c r="J19" s="29"/>
      <c r="K19" s="29"/>
      <c r="L19" s="29" t="s">
        <v>127</v>
      </c>
      <c r="M19" s="29" t="s">
        <v>96</v>
      </c>
      <c r="N19" s="29" t="s">
        <v>97</v>
      </c>
      <c r="O19" s="29"/>
      <c r="P19" s="29"/>
      <c r="Q19" s="29"/>
      <c r="R19" s="30">
        <v>208</v>
      </c>
      <c r="S19" s="30">
        <v>1</v>
      </c>
      <c r="T19" s="31">
        <v>1.25</v>
      </c>
      <c r="U19" s="32" t="s">
        <v>21</v>
      </c>
      <c r="V19" s="30"/>
      <c r="W19" s="31">
        <v>1.4E-2</v>
      </c>
      <c r="X19" s="29"/>
      <c r="Y19" s="41">
        <f t="shared" si="14"/>
        <v>2.9119999999999999</v>
      </c>
      <c r="Z19" s="21">
        <f t="shared" si="15"/>
        <v>1.4E-2</v>
      </c>
      <c r="AA19" s="22">
        <f t="shared" si="16"/>
        <v>1.7499999999999998E-2</v>
      </c>
      <c r="AB19" s="23">
        <f t="shared" si="17"/>
        <v>1.4E-2</v>
      </c>
      <c r="AC19" s="23">
        <f t="shared" si="18"/>
        <v>1.4E-2</v>
      </c>
      <c r="AD19" s="23">
        <f t="shared" si="19"/>
        <v>0</v>
      </c>
      <c r="AE19" s="23">
        <f t="shared" si="20"/>
        <v>0</v>
      </c>
    </row>
    <row r="20" spans="2:31" s="15" customFormat="1" ht="17.25" x14ac:dyDescent="0.3">
      <c r="B20" s="29"/>
      <c r="C20" s="29"/>
      <c r="D20" s="29"/>
      <c r="E20" s="10"/>
      <c r="F20" s="10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0"/>
      <c r="S20" s="30"/>
      <c r="T20" s="31"/>
      <c r="U20" s="32"/>
      <c r="V20" s="30"/>
      <c r="W20" s="31"/>
      <c r="X20" s="29"/>
      <c r="Y20" s="41">
        <f t="shared" si="14"/>
        <v>0</v>
      </c>
      <c r="Z20" s="21">
        <f t="shared" si="15"/>
        <v>0</v>
      </c>
      <c r="AA20" s="22">
        <f t="shared" si="16"/>
        <v>0</v>
      </c>
      <c r="AB20" s="23">
        <f t="shared" si="17"/>
        <v>0</v>
      </c>
      <c r="AC20" s="23">
        <f t="shared" si="18"/>
        <v>0</v>
      </c>
      <c r="AD20" s="23">
        <f t="shared" si="19"/>
        <v>0</v>
      </c>
      <c r="AE20" s="23">
        <f t="shared" si="20"/>
        <v>0</v>
      </c>
    </row>
    <row r="21" spans="2:31" s="15" customFormat="1" ht="17.25" x14ac:dyDescent="0.3">
      <c r="B21" s="10" t="s">
        <v>40</v>
      </c>
      <c r="C21" s="10"/>
      <c r="D21" s="29" t="s">
        <v>101</v>
      </c>
      <c r="E21" s="10" t="s">
        <v>62</v>
      </c>
      <c r="F21" s="10" t="s">
        <v>65</v>
      </c>
      <c r="G21" s="10"/>
      <c r="H21" s="10"/>
      <c r="I21" s="29"/>
      <c r="J21" s="29"/>
      <c r="K21" s="10"/>
      <c r="L21" s="10" t="s">
        <v>128</v>
      </c>
      <c r="M21" s="29"/>
      <c r="N21" s="29"/>
      <c r="O21" s="10"/>
      <c r="P21" s="29"/>
      <c r="Q21" s="10"/>
      <c r="R21" s="30"/>
      <c r="S21" s="30"/>
      <c r="T21" s="31"/>
      <c r="U21" s="32"/>
      <c r="V21" s="30"/>
      <c r="W21" s="31"/>
      <c r="X21" s="10"/>
      <c r="Y21" s="41">
        <f t="shared" si="14"/>
        <v>0</v>
      </c>
      <c r="Z21" s="21">
        <f t="shared" si="15"/>
        <v>0</v>
      </c>
      <c r="AA21" s="22">
        <f t="shared" si="16"/>
        <v>0</v>
      </c>
      <c r="AB21" s="23">
        <f t="shared" si="17"/>
        <v>0</v>
      </c>
      <c r="AC21" s="23">
        <f t="shared" si="18"/>
        <v>0</v>
      </c>
      <c r="AD21" s="23">
        <f t="shared" si="19"/>
        <v>0</v>
      </c>
      <c r="AE21" s="23">
        <f t="shared" si="20"/>
        <v>0</v>
      </c>
    </row>
    <row r="22" spans="2:31" s="15" customFormat="1" ht="17.25" x14ac:dyDescent="0.3">
      <c r="B22" s="10"/>
      <c r="C22" s="10"/>
      <c r="D22" s="29"/>
      <c r="E22" s="10"/>
      <c r="F22" s="10"/>
      <c r="G22" s="10"/>
      <c r="H22" s="10"/>
      <c r="I22" s="29"/>
      <c r="J22" s="29"/>
      <c r="K22" s="10"/>
      <c r="L22" s="10"/>
      <c r="M22" s="29"/>
      <c r="N22" s="29"/>
      <c r="O22" s="10"/>
      <c r="P22" s="29"/>
      <c r="Q22" s="10"/>
      <c r="R22" s="30"/>
      <c r="S22" s="30"/>
      <c r="T22" s="31"/>
      <c r="U22" s="32"/>
      <c r="V22" s="30"/>
      <c r="W22" s="31"/>
      <c r="X22" s="10"/>
      <c r="Y22" s="41">
        <f t="shared" si="14"/>
        <v>0</v>
      </c>
      <c r="Z22" s="21">
        <f t="shared" si="15"/>
        <v>0</v>
      </c>
      <c r="AA22" s="22">
        <f t="shared" si="16"/>
        <v>0</v>
      </c>
      <c r="AB22" s="23">
        <f t="shared" si="17"/>
        <v>0</v>
      </c>
      <c r="AC22" s="23">
        <f t="shared" si="18"/>
        <v>0</v>
      </c>
      <c r="AD22" s="23">
        <f t="shared" si="19"/>
        <v>0</v>
      </c>
      <c r="AE22" s="23">
        <f t="shared" si="20"/>
        <v>0</v>
      </c>
    </row>
    <row r="23" spans="2:31" s="15" customFormat="1" ht="17.25" x14ac:dyDescent="0.3">
      <c r="B23" s="10" t="s">
        <v>39</v>
      </c>
      <c r="C23" s="10"/>
      <c r="D23" s="29" t="s">
        <v>102</v>
      </c>
      <c r="E23" s="10" t="s">
        <v>62</v>
      </c>
      <c r="F23" s="10" t="s">
        <v>65</v>
      </c>
      <c r="G23" s="10"/>
      <c r="H23" s="10"/>
      <c r="I23" s="10"/>
      <c r="J23" s="10"/>
      <c r="K23" s="10"/>
      <c r="L23" s="10" t="s">
        <v>129</v>
      </c>
      <c r="M23" s="10" t="s">
        <v>23</v>
      </c>
      <c r="N23" s="10" t="s">
        <v>41</v>
      </c>
      <c r="O23" s="10"/>
      <c r="P23" s="10"/>
      <c r="Q23" s="10"/>
      <c r="R23" s="30">
        <v>208</v>
      </c>
      <c r="S23" s="30">
        <v>1</v>
      </c>
      <c r="T23" s="31">
        <v>1.25</v>
      </c>
      <c r="U23" s="32" t="s">
        <v>21</v>
      </c>
      <c r="V23" s="30">
        <v>5</v>
      </c>
      <c r="W23" s="31"/>
      <c r="X23" s="10"/>
      <c r="Y23" s="41">
        <f t="shared" si="14"/>
        <v>5</v>
      </c>
      <c r="Z23" s="21">
        <f t="shared" si="15"/>
        <v>2.403846153846154E-2</v>
      </c>
      <c r="AA23" s="22">
        <f t="shared" si="16"/>
        <v>3.0048076923076924E-2</v>
      </c>
      <c r="AB23" s="23">
        <f t="shared" si="17"/>
        <v>2.403846153846154E-2</v>
      </c>
      <c r="AC23" s="23">
        <f t="shared" si="18"/>
        <v>2.403846153846154E-2</v>
      </c>
      <c r="AD23" s="23">
        <f t="shared" si="19"/>
        <v>0</v>
      </c>
      <c r="AE23" s="23">
        <f t="shared" si="20"/>
        <v>0</v>
      </c>
    </row>
    <row r="24" spans="2:31" s="15" customFormat="1" ht="17.25" x14ac:dyDescent="0.3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0"/>
      <c r="S24" s="30"/>
      <c r="T24" s="31"/>
      <c r="U24" s="32"/>
      <c r="V24" s="31"/>
      <c r="W24" s="31"/>
      <c r="X24" s="29"/>
      <c r="Y24" s="41">
        <f t="shared" si="14"/>
        <v>0</v>
      </c>
      <c r="Z24" s="21">
        <f t="shared" si="15"/>
        <v>0</v>
      </c>
      <c r="AA24" s="22">
        <f t="shared" si="16"/>
        <v>0</v>
      </c>
      <c r="AB24" s="23">
        <f t="shared" si="17"/>
        <v>0</v>
      </c>
      <c r="AC24" s="23">
        <f t="shared" si="18"/>
        <v>0</v>
      </c>
      <c r="AD24" s="23">
        <f t="shared" si="19"/>
        <v>0</v>
      </c>
      <c r="AE24" s="23">
        <f t="shared" si="20"/>
        <v>0</v>
      </c>
    </row>
    <row r="25" spans="2:31" s="15" customFormat="1" ht="17.25" x14ac:dyDescent="0.3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30"/>
      <c r="S25" s="30"/>
      <c r="T25" s="31"/>
      <c r="U25" s="32"/>
      <c r="V25" s="31"/>
      <c r="W25" s="31"/>
      <c r="X25" s="29"/>
      <c r="Y25" s="41">
        <f t="shared" si="14"/>
        <v>0</v>
      </c>
      <c r="Z25" s="21">
        <f t="shared" si="15"/>
        <v>0</v>
      </c>
      <c r="AA25" s="22">
        <f t="shared" si="16"/>
        <v>0</v>
      </c>
      <c r="AB25" s="23">
        <f t="shared" si="17"/>
        <v>0</v>
      </c>
      <c r="AC25" s="23">
        <f t="shared" si="18"/>
        <v>0</v>
      </c>
      <c r="AD25" s="23">
        <f t="shared" si="19"/>
        <v>0</v>
      </c>
      <c r="AE25" s="23">
        <f t="shared" si="20"/>
        <v>0</v>
      </c>
    </row>
    <row r="26" spans="2:31" s="15" customFormat="1" ht="17.25" x14ac:dyDescent="0.3">
      <c r="B26" s="29" t="s">
        <v>28</v>
      </c>
      <c r="C26" s="29"/>
      <c r="D26" s="29" t="s">
        <v>103</v>
      </c>
      <c r="E26" s="29" t="s">
        <v>104</v>
      </c>
      <c r="F26" s="29" t="s">
        <v>106</v>
      </c>
      <c r="G26" s="29"/>
      <c r="H26" s="29"/>
      <c r="I26" s="29"/>
      <c r="J26" s="29"/>
      <c r="K26" s="29"/>
      <c r="L26" s="29" t="s">
        <v>130</v>
      </c>
      <c r="M26" s="29" t="s">
        <v>29</v>
      </c>
      <c r="N26" s="29" t="s">
        <v>42</v>
      </c>
      <c r="O26" s="29"/>
      <c r="P26" s="29"/>
      <c r="Q26" s="29"/>
      <c r="R26" s="30">
        <v>208</v>
      </c>
      <c r="S26" s="30">
        <v>3</v>
      </c>
      <c r="T26" s="31">
        <v>1.5</v>
      </c>
      <c r="U26" s="32" t="s">
        <v>126</v>
      </c>
      <c r="V26" s="31">
        <v>5300</v>
      </c>
      <c r="W26" s="31"/>
      <c r="X26" s="29"/>
      <c r="Y26" s="41">
        <f t="shared" si="14"/>
        <v>5300</v>
      </c>
      <c r="Z26" s="21">
        <f t="shared" si="15"/>
        <v>14.711760525848286</v>
      </c>
      <c r="AA26" s="22">
        <f t="shared" si="16"/>
        <v>22.06764078877243</v>
      </c>
      <c r="AB26" s="23">
        <f t="shared" si="17"/>
        <v>14.711760525848286</v>
      </c>
      <c r="AC26" s="23">
        <f t="shared" si="18"/>
        <v>14.711760525848286</v>
      </c>
      <c r="AD26" s="23">
        <f t="shared" si="19"/>
        <v>14.711760525848286</v>
      </c>
      <c r="AE26" s="23">
        <f t="shared" si="20"/>
        <v>0</v>
      </c>
    </row>
    <row r="27" spans="2:31" s="15" customFormat="1" ht="17.25" x14ac:dyDescent="0.3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30"/>
      <c r="S27" s="30"/>
      <c r="T27" s="31"/>
      <c r="U27" s="32"/>
      <c r="V27" s="31"/>
      <c r="W27" s="31"/>
      <c r="X27" s="29"/>
      <c r="Y27" s="41">
        <f t="shared" si="14"/>
        <v>0</v>
      </c>
      <c r="Z27" s="21">
        <f t="shared" si="15"/>
        <v>0</v>
      </c>
      <c r="AA27" s="22">
        <f t="shared" si="16"/>
        <v>0</v>
      </c>
      <c r="AB27" s="23">
        <f t="shared" si="17"/>
        <v>0</v>
      </c>
      <c r="AC27" s="23">
        <f t="shared" si="18"/>
        <v>0</v>
      </c>
      <c r="AD27" s="23">
        <f t="shared" si="19"/>
        <v>0</v>
      </c>
      <c r="AE27" s="23">
        <f t="shared" si="20"/>
        <v>0</v>
      </c>
    </row>
    <row r="28" spans="2:31" s="15" customFormat="1" ht="17.25" x14ac:dyDescent="0.3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30"/>
      <c r="S28" s="30"/>
      <c r="T28" s="31"/>
      <c r="U28" s="32"/>
      <c r="V28" s="31"/>
      <c r="W28" s="31"/>
      <c r="X28" s="29"/>
      <c r="Y28" s="41">
        <f t="shared" si="14"/>
        <v>0</v>
      </c>
      <c r="Z28" s="21">
        <f t="shared" si="15"/>
        <v>0</v>
      </c>
      <c r="AA28" s="22">
        <f t="shared" si="16"/>
        <v>0</v>
      </c>
      <c r="AB28" s="23">
        <f t="shared" si="17"/>
        <v>0</v>
      </c>
      <c r="AC28" s="23">
        <f t="shared" si="18"/>
        <v>0</v>
      </c>
      <c r="AD28" s="23">
        <f t="shared" si="19"/>
        <v>0</v>
      </c>
      <c r="AE28" s="23">
        <f t="shared" si="20"/>
        <v>0</v>
      </c>
    </row>
    <row r="29" spans="2:31" s="15" customFormat="1" ht="17.25" x14ac:dyDescent="0.3">
      <c r="B29" s="29" t="s">
        <v>31</v>
      </c>
      <c r="C29" s="29"/>
      <c r="D29" s="29" t="s">
        <v>107</v>
      </c>
      <c r="E29" s="29" t="s">
        <v>82</v>
      </c>
      <c r="F29" s="29" t="s">
        <v>106</v>
      </c>
      <c r="G29" s="29"/>
      <c r="H29" s="29"/>
      <c r="I29" s="29"/>
      <c r="J29" s="29"/>
      <c r="K29" s="29"/>
      <c r="L29" s="29" t="s">
        <v>131</v>
      </c>
      <c r="M29" s="29"/>
      <c r="N29" s="29"/>
      <c r="O29" s="29"/>
      <c r="P29" s="29" t="s">
        <v>125</v>
      </c>
      <c r="Q29" s="29"/>
      <c r="R29" s="30">
        <v>208</v>
      </c>
      <c r="S29" s="30">
        <v>1</v>
      </c>
      <c r="T29" s="31">
        <v>2.5</v>
      </c>
      <c r="U29" s="32" t="s">
        <v>26</v>
      </c>
      <c r="V29" s="31">
        <v>1400</v>
      </c>
      <c r="W29" s="31"/>
      <c r="X29" s="29"/>
      <c r="Y29" s="41">
        <f t="shared" si="14"/>
        <v>1400</v>
      </c>
      <c r="Z29" s="21">
        <f t="shared" si="15"/>
        <v>6.7307692307692308</v>
      </c>
      <c r="AA29" s="22">
        <f t="shared" si="16"/>
        <v>16.826923076923077</v>
      </c>
      <c r="AB29" s="23">
        <f t="shared" si="17"/>
        <v>6.7307692307692308</v>
      </c>
      <c r="AC29" s="23">
        <f t="shared" si="18"/>
        <v>0</v>
      </c>
      <c r="AD29" s="23">
        <f t="shared" si="19"/>
        <v>6.7307692307692308</v>
      </c>
      <c r="AE29" s="23">
        <f t="shared" si="20"/>
        <v>0</v>
      </c>
    </row>
    <row r="30" spans="2:31" s="15" customFormat="1" ht="17.25" x14ac:dyDescent="0.3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30"/>
      <c r="S30" s="30"/>
      <c r="T30" s="31"/>
      <c r="U30" s="32"/>
      <c r="V30" s="31"/>
      <c r="W30" s="31"/>
      <c r="X30" s="29"/>
      <c r="Y30" s="41">
        <f t="shared" si="14"/>
        <v>0</v>
      </c>
      <c r="Z30" s="21">
        <f t="shared" si="15"/>
        <v>0</v>
      </c>
      <c r="AA30" s="22">
        <f t="shared" si="16"/>
        <v>0</v>
      </c>
      <c r="AB30" s="23">
        <f t="shared" si="17"/>
        <v>0</v>
      </c>
      <c r="AC30" s="23">
        <f t="shared" si="18"/>
        <v>0</v>
      </c>
      <c r="AD30" s="23">
        <f t="shared" si="19"/>
        <v>0</v>
      </c>
      <c r="AE30" s="23">
        <f t="shared" si="20"/>
        <v>0</v>
      </c>
    </row>
    <row r="31" spans="2:31" s="15" customFormat="1" ht="17.25" x14ac:dyDescent="0.3">
      <c r="B31" s="29" t="s">
        <v>54</v>
      </c>
      <c r="C31" s="29"/>
      <c r="D31" s="29" t="s">
        <v>110</v>
      </c>
      <c r="E31" s="10" t="s">
        <v>62</v>
      </c>
      <c r="F31" s="10" t="s">
        <v>65</v>
      </c>
      <c r="G31" s="29"/>
      <c r="H31" s="29" t="s">
        <v>112</v>
      </c>
      <c r="I31" s="10" t="s">
        <v>60</v>
      </c>
      <c r="J31" s="10" t="s">
        <v>68</v>
      </c>
      <c r="K31" s="29"/>
      <c r="L31" s="29" t="s">
        <v>272</v>
      </c>
      <c r="M31" s="10" t="s">
        <v>56</v>
      </c>
      <c r="N31" s="10" t="s">
        <v>55</v>
      </c>
      <c r="O31" s="29"/>
      <c r="P31" s="10"/>
      <c r="Q31" s="29"/>
      <c r="R31" s="30">
        <v>208</v>
      </c>
      <c r="S31" s="30">
        <v>1</v>
      </c>
      <c r="T31" s="31">
        <v>1.25</v>
      </c>
      <c r="U31" s="32" t="s">
        <v>21</v>
      </c>
      <c r="V31" s="30"/>
      <c r="W31" s="31">
        <v>1.26</v>
      </c>
      <c r="X31" s="29"/>
      <c r="Y31" s="41">
        <f t="shared" si="14"/>
        <v>262.08</v>
      </c>
      <c r="Z31" s="21">
        <f t="shared" si="15"/>
        <v>1.26</v>
      </c>
      <c r="AA31" s="22">
        <f t="shared" si="16"/>
        <v>1.5749999999999997</v>
      </c>
      <c r="AB31" s="23">
        <f t="shared" si="17"/>
        <v>1.26</v>
      </c>
      <c r="AC31" s="23">
        <f t="shared" si="18"/>
        <v>1.26</v>
      </c>
      <c r="AD31" s="23">
        <f t="shared" si="19"/>
        <v>0</v>
      </c>
      <c r="AE31" s="23">
        <f t="shared" si="20"/>
        <v>0</v>
      </c>
    </row>
    <row r="32" spans="2:31" s="15" customFormat="1" ht="17.25" x14ac:dyDescent="0.3">
      <c r="B32" s="29" t="s">
        <v>57</v>
      </c>
      <c r="C32" s="29"/>
      <c r="D32" s="29" t="s">
        <v>111</v>
      </c>
      <c r="E32" s="10" t="s">
        <v>62</v>
      </c>
      <c r="F32" s="10" t="s">
        <v>65</v>
      </c>
      <c r="G32" s="29"/>
      <c r="H32" s="29" t="s">
        <v>113</v>
      </c>
      <c r="I32" s="10" t="s">
        <v>60</v>
      </c>
      <c r="J32" s="10" t="s">
        <v>68</v>
      </c>
      <c r="K32" s="29"/>
      <c r="L32" s="29" t="s">
        <v>273</v>
      </c>
      <c r="M32" s="10" t="s">
        <v>59</v>
      </c>
      <c r="N32" s="10" t="s">
        <v>58</v>
      </c>
      <c r="O32" s="29"/>
      <c r="P32" s="10"/>
      <c r="Q32" s="29"/>
      <c r="R32" s="30">
        <v>208</v>
      </c>
      <c r="S32" s="30">
        <v>1</v>
      </c>
      <c r="T32" s="31">
        <v>1.25</v>
      </c>
      <c r="U32" s="32" t="s">
        <v>21</v>
      </c>
      <c r="V32" s="30"/>
      <c r="W32" s="31">
        <v>1.26</v>
      </c>
      <c r="X32" s="29"/>
      <c r="Y32" s="41">
        <f t="shared" si="14"/>
        <v>262.08</v>
      </c>
      <c r="Z32" s="21">
        <f t="shared" si="15"/>
        <v>1.26</v>
      </c>
      <c r="AA32" s="22">
        <f t="shared" si="16"/>
        <v>1.5749999999999997</v>
      </c>
      <c r="AB32" s="23">
        <f t="shared" si="17"/>
        <v>1.26</v>
      </c>
      <c r="AC32" s="23">
        <f t="shared" si="18"/>
        <v>1.26</v>
      </c>
      <c r="AD32" s="23">
        <f t="shared" si="19"/>
        <v>0</v>
      </c>
      <c r="AE32" s="23">
        <f t="shared" si="20"/>
        <v>0</v>
      </c>
    </row>
    <row r="33" spans="2:31" s="15" customFormat="1" ht="17.25" x14ac:dyDescent="0.3">
      <c r="B33" s="29"/>
      <c r="C33" s="29"/>
      <c r="D33" s="29"/>
      <c r="E33" s="10"/>
      <c r="F33" s="10"/>
      <c r="G33" s="29"/>
      <c r="H33" s="29"/>
      <c r="I33" s="10"/>
      <c r="J33" s="10"/>
      <c r="K33" s="29"/>
      <c r="L33" s="29"/>
      <c r="M33" s="10"/>
      <c r="N33" s="10"/>
      <c r="O33" s="29"/>
      <c r="P33" s="10"/>
      <c r="Q33" s="29"/>
      <c r="R33" s="30"/>
      <c r="S33" s="30"/>
      <c r="T33" s="31"/>
      <c r="U33" s="32"/>
      <c r="V33" s="30"/>
      <c r="W33" s="31"/>
      <c r="X33" s="29"/>
      <c r="Y33" s="41">
        <f t="shared" si="14"/>
        <v>0</v>
      </c>
      <c r="Z33" s="21">
        <f t="shared" si="15"/>
        <v>0</v>
      </c>
      <c r="AA33" s="22">
        <f t="shared" si="16"/>
        <v>0</v>
      </c>
      <c r="AB33" s="23">
        <f t="shared" si="17"/>
        <v>0</v>
      </c>
      <c r="AC33" s="23">
        <f t="shared" si="18"/>
        <v>0</v>
      </c>
      <c r="AD33" s="23">
        <f t="shared" si="19"/>
        <v>0</v>
      </c>
      <c r="AE33" s="23">
        <f t="shared" si="20"/>
        <v>0</v>
      </c>
    </row>
    <row r="34" spans="2:31" s="15" customFormat="1" ht="17.25" x14ac:dyDescent="0.3">
      <c r="B34" s="29"/>
      <c r="C34" s="29"/>
      <c r="D34" s="29"/>
      <c r="E34" s="10"/>
      <c r="F34" s="10"/>
      <c r="G34" s="29"/>
      <c r="H34" s="29"/>
      <c r="I34" s="10"/>
      <c r="J34" s="10"/>
      <c r="K34" s="29"/>
      <c r="L34" s="29"/>
      <c r="M34" s="10"/>
      <c r="N34" s="10"/>
      <c r="O34" s="29"/>
      <c r="P34" s="10"/>
      <c r="Q34" s="29"/>
      <c r="R34" s="30"/>
      <c r="S34" s="30"/>
      <c r="T34" s="31"/>
      <c r="U34" s="32"/>
      <c r="V34" s="30"/>
      <c r="W34" s="31"/>
      <c r="X34" s="29"/>
      <c r="Y34" s="41">
        <f t="shared" si="14"/>
        <v>0</v>
      </c>
      <c r="Z34" s="21">
        <f t="shared" si="15"/>
        <v>0</v>
      </c>
      <c r="AA34" s="22">
        <f t="shared" si="16"/>
        <v>0</v>
      </c>
      <c r="AB34" s="23">
        <f t="shared" si="17"/>
        <v>0</v>
      </c>
      <c r="AC34" s="23">
        <f t="shared" si="18"/>
        <v>0</v>
      </c>
      <c r="AD34" s="23">
        <f t="shared" si="19"/>
        <v>0</v>
      </c>
      <c r="AE34" s="23">
        <f t="shared" si="20"/>
        <v>0</v>
      </c>
    </row>
    <row r="35" spans="2:31" s="15" customFormat="1" ht="17.25" x14ac:dyDescent="0.3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30"/>
      <c r="S35" s="30"/>
      <c r="T35" s="31"/>
      <c r="U35" s="32"/>
      <c r="V35" s="30"/>
      <c r="W35" s="31"/>
      <c r="X35" s="10"/>
      <c r="Y35" s="41">
        <f t="shared" si="14"/>
        <v>0</v>
      </c>
      <c r="Z35" s="21">
        <f t="shared" si="15"/>
        <v>0</v>
      </c>
      <c r="AA35" s="22">
        <f t="shared" si="16"/>
        <v>0</v>
      </c>
      <c r="AB35" s="23">
        <f t="shared" si="17"/>
        <v>0</v>
      </c>
      <c r="AC35" s="23">
        <f t="shared" si="18"/>
        <v>0</v>
      </c>
      <c r="AD35" s="23">
        <f t="shared" si="19"/>
        <v>0</v>
      </c>
      <c r="AE35" s="23">
        <f t="shared" si="20"/>
        <v>0</v>
      </c>
    </row>
    <row r="36" spans="2:31" s="15" customFormat="1" ht="17.25" x14ac:dyDescent="0.3">
      <c r="B36" s="29" t="s">
        <v>77</v>
      </c>
      <c r="C36" s="29"/>
      <c r="D36" s="29" t="s">
        <v>114</v>
      </c>
      <c r="E36" s="10" t="s">
        <v>64</v>
      </c>
      <c r="F36" s="10" t="s">
        <v>66</v>
      </c>
      <c r="G36" s="29"/>
      <c r="H36" s="43" t="s">
        <v>119</v>
      </c>
      <c r="I36" s="10" t="s">
        <v>79</v>
      </c>
      <c r="J36" s="10" t="s">
        <v>67</v>
      </c>
      <c r="K36" s="29"/>
      <c r="L36" s="29"/>
      <c r="M36" s="10"/>
      <c r="N36" s="10"/>
      <c r="O36" s="29"/>
      <c r="P36" s="10"/>
      <c r="Q36" s="29"/>
      <c r="R36" s="30">
        <v>208</v>
      </c>
      <c r="S36" s="30">
        <v>1</v>
      </c>
      <c r="T36" s="31">
        <v>1.25</v>
      </c>
      <c r="U36" s="32" t="s">
        <v>21</v>
      </c>
      <c r="V36" s="30"/>
      <c r="W36" s="31">
        <v>2.2999999999999998</v>
      </c>
      <c r="X36" s="29"/>
      <c r="Y36" s="41">
        <f t="shared" si="14"/>
        <v>478.4</v>
      </c>
      <c r="Z36" s="21">
        <f t="shared" si="15"/>
        <v>2.2999999999999998</v>
      </c>
      <c r="AA36" s="22">
        <f t="shared" si="16"/>
        <v>2.875</v>
      </c>
      <c r="AB36" s="23">
        <f t="shared" si="17"/>
        <v>2.2999999999999998</v>
      </c>
      <c r="AC36" s="23">
        <f t="shared" si="18"/>
        <v>2.2999999999999998</v>
      </c>
      <c r="AD36" s="23">
        <f t="shared" si="19"/>
        <v>0</v>
      </c>
      <c r="AE36" s="23">
        <f t="shared" si="20"/>
        <v>0</v>
      </c>
    </row>
    <row r="37" spans="2:31" s="15" customFormat="1" ht="17.25" x14ac:dyDescent="0.3">
      <c r="B37" s="29"/>
      <c r="C37" s="29"/>
      <c r="D37" s="42" t="s">
        <v>115</v>
      </c>
      <c r="E37" s="10" t="s">
        <v>80</v>
      </c>
      <c r="F37" s="10" t="s">
        <v>66</v>
      </c>
      <c r="G37" s="29"/>
      <c r="H37" s="29"/>
      <c r="I37" s="10"/>
      <c r="J37" s="10"/>
      <c r="K37" s="29"/>
      <c r="L37" s="29" t="s">
        <v>120</v>
      </c>
      <c r="M37" s="10" t="s">
        <v>72</v>
      </c>
      <c r="N37" s="10" t="s">
        <v>74</v>
      </c>
      <c r="O37" s="29"/>
      <c r="P37" s="10"/>
      <c r="Q37" s="29"/>
      <c r="R37" s="30"/>
      <c r="S37" s="30"/>
      <c r="T37" s="31"/>
      <c r="U37" s="32"/>
      <c r="V37" s="30"/>
      <c r="W37" s="31"/>
      <c r="X37" s="29"/>
      <c r="Y37" s="41">
        <f t="shared" si="14"/>
        <v>0</v>
      </c>
      <c r="Z37" s="21">
        <f t="shared" si="15"/>
        <v>0</v>
      </c>
      <c r="AA37" s="22">
        <f t="shared" si="16"/>
        <v>0</v>
      </c>
      <c r="AB37" s="23">
        <f t="shared" si="17"/>
        <v>0</v>
      </c>
      <c r="AC37" s="23">
        <f t="shared" si="18"/>
        <v>0</v>
      </c>
      <c r="AD37" s="23">
        <f t="shared" si="19"/>
        <v>0</v>
      </c>
      <c r="AE37" s="23">
        <f t="shared" si="20"/>
        <v>0</v>
      </c>
    </row>
    <row r="38" spans="2:31" s="15" customFormat="1" ht="17.25" x14ac:dyDescent="0.3">
      <c r="B38" s="29"/>
      <c r="C38" s="29"/>
      <c r="D38" s="42" t="s">
        <v>116</v>
      </c>
      <c r="E38" s="10" t="s">
        <v>64</v>
      </c>
      <c r="F38" s="10" t="s">
        <v>66</v>
      </c>
      <c r="G38" s="29"/>
      <c r="H38" s="29"/>
      <c r="I38" s="10"/>
      <c r="J38" s="10"/>
      <c r="K38" s="29"/>
      <c r="L38" s="29" t="s">
        <v>121</v>
      </c>
      <c r="M38" s="10" t="s">
        <v>69</v>
      </c>
      <c r="N38" s="10" t="s">
        <v>70</v>
      </c>
      <c r="O38" s="29"/>
      <c r="P38" s="10"/>
      <c r="Q38" s="29"/>
      <c r="R38" s="30"/>
      <c r="S38" s="30"/>
      <c r="T38" s="31"/>
      <c r="U38" s="32"/>
      <c r="V38" s="30"/>
      <c r="W38" s="31"/>
      <c r="X38" s="29"/>
      <c r="Y38" s="41">
        <f t="shared" si="14"/>
        <v>0</v>
      </c>
      <c r="Z38" s="21">
        <f t="shared" si="15"/>
        <v>0</v>
      </c>
      <c r="AA38" s="22">
        <f t="shared" si="16"/>
        <v>0</v>
      </c>
      <c r="AB38" s="23">
        <f t="shared" si="17"/>
        <v>0</v>
      </c>
      <c r="AC38" s="23">
        <f t="shared" si="18"/>
        <v>0</v>
      </c>
      <c r="AD38" s="23">
        <f t="shared" si="19"/>
        <v>0</v>
      </c>
      <c r="AE38" s="23">
        <f t="shared" si="20"/>
        <v>0</v>
      </c>
    </row>
    <row r="39" spans="2:31" s="15" customFormat="1" ht="17.25" x14ac:dyDescent="0.3">
      <c r="B39" s="29"/>
      <c r="C39" s="29"/>
      <c r="D39" s="42" t="s">
        <v>117</v>
      </c>
      <c r="E39" s="10" t="s">
        <v>63</v>
      </c>
      <c r="F39" s="10" t="s">
        <v>65</v>
      </c>
      <c r="G39" s="29"/>
      <c r="H39" s="29"/>
      <c r="I39" s="10"/>
      <c r="J39" s="10"/>
      <c r="K39" s="29"/>
      <c r="L39" s="29" t="s">
        <v>122</v>
      </c>
      <c r="M39" s="10" t="s">
        <v>76</v>
      </c>
      <c r="N39" s="10" t="s">
        <v>75</v>
      </c>
      <c r="O39" s="29"/>
      <c r="P39" s="10"/>
      <c r="Q39" s="29"/>
      <c r="R39" s="30"/>
      <c r="S39" s="30"/>
      <c r="T39" s="31"/>
      <c r="U39" s="32"/>
      <c r="V39" s="30"/>
      <c r="W39" s="31"/>
      <c r="X39" s="29"/>
      <c r="Y39" s="41">
        <f t="shared" si="14"/>
        <v>0</v>
      </c>
      <c r="Z39" s="21">
        <f t="shared" si="15"/>
        <v>0</v>
      </c>
      <c r="AA39" s="22">
        <f t="shared" si="16"/>
        <v>0</v>
      </c>
      <c r="AB39" s="23">
        <f t="shared" si="17"/>
        <v>0</v>
      </c>
      <c r="AC39" s="23">
        <f t="shared" si="18"/>
        <v>0</v>
      </c>
      <c r="AD39" s="23">
        <f t="shared" si="19"/>
        <v>0</v>
      </c>
      <c r="AE39" s="23">
        <f t="shared" si="20"/>
        <v>0</v>
      </c>
    </row>
    <row r="40" spans="2:31" s="15" customFormat="1" ht="17.25" x14ac:dyDescent="0.3">
      <c r="B40" s="29"/>
      <c r="C40" s="29"/>
      <c r="D40" s="42" t="s">
        <v>118</v>
      </c>
      <c r="E40" s="10" t="s">
        <v>63</v>
      </c>
      <c r="F40" s="10" t="s">
        <v>65</v>
      </c>
      <c r="G40" s="29"/>
      <c r="H40" s="29"/>
      <c r="I40" s="10"/>
      <c r="J40" s="10"/>
      <c r="K40" s="29"/>
      <c r="L40" s="29" t="s">
        <v>123</v>
      </c>
      <c r="M40" s="10"/>
      <c r="N40" s="10" t="s">
        <v>67</v>
      </c>
      <c r="O40" s="29"/>
      <c r="P40" s="10"/>
      <c r="Q40" s="29"/>
      <c r="R40" s="30"/>
      <c r="S40" s="30"/>
      <c r="T40" s="31"/>
      <c r="U40" s="32"/>
      <c r="V40" s="30"/>
      <c r="W40" s="31"/>
      <c r="X40" s="29"/>
      <c r="Y40" s="41">
        <f t="shared" si="14"/>
        <v>0</v>
      </c>
      <c r="Z40" s="21">
        <f t="shared" si="15"/>
        <v>0</v>
      </c>
      <c r="AA40" s="22">
        <f t="shared" si="16"/>
        <v>0</v>
      </c>
      <c r="AB40" s="23">
        <f t="shared" si="17"/>
        <v>0</v>
      </c>
      <c r="AC40" s="23">
        <f t="shared" si="18"/>
        <v>0</v>
      </c>
      <c r="AD40" s="23">
        <f t="shared" si="19"/>
        <v>0</v>
      </c>
      <c r="AE40" s="23">
        <f t="shared" si="20"/>
        <v>0</v>
      </c>
    </row>
    <row r="41" spans="2:31" s="15" customFormat="1" ht="17.25" x14ac:dyDescent="0.3">
      <c r="B41" s="29"/>
      <c r="C41" s="29"/>
      <c r="D41" s="29"/>
      <c r="E41" s="10"/>
      <c r="F41" s="10"/>
      <c r="G41" s="29"/>
      <c r="H41" s="29"/>
      <c r="I41" s="10"/>
      <c r="J41" s="10"/>
      <c r="K41" s="29"/>
      <c r="L41" s="29"/>
      <c r="M41" s="10"/>
      <c r="N41" s="10"/>
      <c r="O41" s="29"/>
      <c r="P41" s="10"/>
      <c r="Q41" s="29"/>
      <c r="R41" s="30"/>
      <c r="S41" s="30"/>
      <c r="T41" s="31"/>
      <c r="U41" s="32"/>
      <c r="V41" s="30"/>
      <c r="W41" s="31"/>
      <c r="X41" s="29"/>
      <c r="Y41" s="41">
        <f t="shared" si="14"/>
        <v>0</v>
      </c>
      <c r="Z41" s="21">
        <f t="shared" si="15"/>
        <v>0</v>
      </c>
      <c r="AA41" s="22">
        <f t="shared" si="16"/>
        <v>0</v>
      </c>
      <c r="AB41" s="23">
        <f t="shared" si="17"/>
        <v>0</v>
      </c>
      <c r="AC41" s="23">
        <f t="shared" si="18"/>
        <v>0</v>
      </c>
      <c r="AD41" s="23">
        <f t="shared" si="19"/>
        <v>0</v>
      </c>
      <c r="AE41" s="23">
        <f t="shared" si="20"/>
        <v>0</v>
      </c>
    </row>
    <row r="42" spans="2:31" s="15" customFormat="1" ht="17.25" x14ac:dyDescent="0.3"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30"/>
      <c r="S42" s="30"/>
      <c r="T42" s="31"/>
      <c r="U42" s="32"/>
      <c r="V42" s="31"/>
      <c r="W42" s="31"/>
      <c r="X42" s="29"/>
      <c r="Y42" s="41">
        <f t="shared" si="14"/>
        <v>0</v>
      </c>
      <c r="Z42" s="21">
        <f t="shared" si="15"/>
        <v>0</v>
      </c>
      <c r="AA42" s="22">
        <f t="shared" si="16"/>
        <v>0</v>
      </c>
      <c r="AB42" s="23">
        <f t="shared" si="17"/>
        <v>0</v>
      </c>
      <c r="AC42" s="23">
        <f t="shared" si="18"/>
        <v>0</v>
      </c>
      <c r="AD42" s="23">
        <f t="shared" si="19"/>
        <v>0</v>
      </c>
      <c r="AE42" s="23">
        <f t="shared" si="20"/>
        <v>0</v>
      </c>
    </row>
    <row r="43" spans="2:31" s="15" customFormat="1" ht="17.25" x14ac:dyDescent="0.3">
      <c r="B43" s="37" t="s">
        <v>24</v>
      </c>
      <c r="C43" s="37"/>
      <c r="D43" s="37"/>
      <c r="E43" s="25"/>
      <c r="F43" s="25"/>
      <c r="G43" s="37"/>
      <c r="H43" s="37"/>
      <c r="I43" s="25"/>
      <c r="J43" s="25"/>
      <c r="K43" s="37"/>
      <c r="L43" s="37"/>
      <c r="M43" s="25"/>
      <c r="N43" s="25"/>
      <c r="O43" s="37"/>
      <c r="P43" s="25"/>
      <c r="Q43" s="37"/>
      <c r="R43" s="25"/>
      <c r="S43" s="25"/>
      <c r="T43" s="26"/>
      <c r="U43" s="27"/>
      <c r="V43" s="27"/>
      <c r="W43" s="27"/>
      <c r="X43" s="37"/>
      <c r="Y43" s="41">
        <f t="shared" si="14"/>
        <v>0</v>
      </c>
      <c r="Z43" s="21">
        <f t="shared" si="15"/>
        <v>0</v>
      </c>
      <c r="AA43" s="22">
        <f t="shared" si="16"/>
        <v>0</v>
      </c>
      <c r="AB43" s="23">
        <f t="shared" si="17"/>
        <v>0</v>
      </c>
      <c r="AC43" s="23">
        <f t="shared" si="18"/>
        <v>0</v>
      </c>
      <c r="AD43" s="23">
        <f t="shared" si="19"/>
        <v>0</v>
      </c>
      <c r="AE43" s="23">
        <f t="shared" si="20"/>
        <v>0</v>
      </c>
    </row>
    <row r="44" spans="2:31" s="15" customFormat="1" ht="17.25" x14ac:dyDescent="0.3">
      <c r="B44" s="29" t="s">
        <v>30</v>
      </c>
      <c r="C44" s="29"/>
      <c r="D44" s="29" t="s">
        <v>132</v>
      </c>
      <c r="E44" s="29" t="s">
        <v>81</v>
      </c>
      <c r="F44" s="29" t="s">
        <v>106</v>
      </c>
      <c r="G44" s="29"/>
      <c r="H44" s="29"/>
      <c r="I44" s="29"/>
      <c r="J44" s="29"/>
      <c r="K44" s="29"/>
      <c r="L44" s="29" t="s">
        <v>133</v>
      </c>
      <c r="M44" s="29"/>
      <c r="N44" s="29"/>
      <c r="O44" s="29"/>
      <c r="P44" s="29"/>
      <c r="Q44" s="29"/>
      <c r="R44" s="30">
        <v>208</v>
      </c>
      <c r="S44" s="30">
        <v>1</v>
      </c>
      <c r="T44" s="31">
        <v>2.5</v>
      </c>
      <c r="U44" s="32" t="s">
        <v>25</v>
      </c>
      <c r="V44" s="31">
        <v>1400</v>
      </c>
      <c r="W44" s="31"/>
      <c r="X44" s="29"/>
      <c r="Y44" s="41">
        <f t="shared" si="14"/>
        <v>1400</v>
      </c>
      <c r="Z44" s="21">
        <f t="shared" si="15"/>
        <v>6.7307692307692308</v>
      </c>
      <c r="AA44" s="22">
        <f t="shared" si="16"/>
        <v>16.826923076923077</v>
      </c>
      <c r="AB44" s="23">
        <f t="shared" si="17"/>
        <v>0</v>
      </c>
      <c r="AC44" s="23">
        <f t="shared" si="18"/>
        <v>6.7307692307692308</v>
      </c>
      <c r="AD44" s="23">
        <f t="shared" si="19"/>
        <v>6.7307692307692308</v>
      </c>
      <c r="AE44" s="23">
        <f t="shared" si="20"/>
        <v>0</v>
      </c>
    </row>
    <row r="45" spans="2:31" s="15" customFormat="1" ht="17.25" x14ac:dyDescent="0.3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13"/>
      <c r="S45" s="13"/>
      <c r="T45" s="16"/>
      <c r="U45" s="12"/>
      <c r="V45" s="31"/>
      <c r="W45" s="31"/>
      <c r="X45" s="29"/>
      <c r="Y45" s="41">
        <f t="shared" si="14"/>
        <v>0</v>
      </c>
      <c r="Z45" s="21">
        <f t="shared" si="15"/>
        <v>0</v>
      </c>
      <c r="AA45" s="22">
        <f t="shared" si="16"/>
        <v>0</v>
      </c>
      <c r="AB45" s="23">
        <f t="shared" si="17"/>
        <v>0</v>
      </c>
      <c r="AC45" s="23">
        <f t="shared" si="18"/>
        <v>0</v>
      </c>
      <c r="AD45" s="23">
        <f t="shared" si="19"/>
        <v>0</v>
      </c>
      <c r="AE45" s="23">
        <f t="shared" si="20"/>
        <v>0</v>
      </c>
    </row>
    <row r="46" spans="2:31" ht="17.25" x14ac:dyDescent="0.3">
      <c r="B46" s="29" t="s">
        <v>78</v>
      </c>
      <c r="C46" s="29"/>
      <c r="D46" s="29" t="s">
        <v>136</v>
      </c>
      <c r="E46" s="10" t="s">
        <v>63</v>
      </c>
      <c r="F46" s="10" t="s">
        <v>65</v>
      </c>
      <c r="G46" s="29"/>
      <c r="H46" s="29" t="s">
        <v>135</v>
      </c>
      <c r="I46" s="10" t="s">
        <v>61</v>
      </c>
      <c r="J46" s="10" t="s">
        <v>67</v>
      </c>
      <c r="K46" s="29"/>
      <c r="L46" s="10" t="s">
        <v>134</v>
      </c>
      <c r="M46" s="10" t="s">
        <v>71</v>
      </c>
      <c r="N46" s="10" t="s">
        <v>73</v>
      </c>
      <c r="O46" s="29"/>
      <c r="P46" s="10" t="s">
        <v>124</v>
      </c>
      <c r="Q46" s="29"/>
      <c r="R46" s="30">
        <v>208</v>
      </c>
      <c r="S46" s="30">
        <v>1</v>
      </c>
      <c r="T46" s="31">
        <v>1.25</v>
      </c>
      <c r="U46" s="32" t="s">
        <v>25</v>
      </c>
      <c r="V46" s="30"/>
      <c r="W46" s="31">
        <v>1.1299999999999999</v>
      </c>
      <c r="X46" s="29"/>
      <c r="Y46" s="41">
        <f t="shared" si="14"/>
        <v>235.03999999999996</v>
      </c>
      <c r="Z46" s="21">
        <f t="shared" si="15"/>
        <v>1.1299999999999999</v>
      </c>
      <c r="AA46" s="22">
        <f t="shared" si="16"/>
        <v>1.4124999999999999</v>
      </c>
      <c r="AB46" s="23">
        <f t="shared" si="17"/>
        <v>0</v>
      </c>
      <c r="AC46" s="23">
        <f t="shared" si="18"/>
        <v>1.1299999999999999</v>
      </c>
      <c r="AD46" s="23">
        <f t="shared" si="19"/>
        <v>1.1299999999999999</v>
      </c>
      <c r="AE46" s="23">
        <f t="shared" si="20"/>
        <v>0</v>
      </c>
    </row>
    <row r="47" spans="2:31" ht="17.25" x14ac:dyDescent="0.3">
      <c r="B47" s="10"/>
      <c r="C47" s="10"/>
      <c r="D47" s="29"/>
      <c r="E47" s="10"/>
      <c r="F47" s="10"/>
      <c r="G47" s="10"/>
      <c r="H47" s="4"/>
      <c r="I47" s="4"/>
      <c r="J47" s="4"/>
      <c r="K47" s="10"/>
      <c r="L47" s="10"/>
      <c r="M47" s="10"/>
      <c r="N47" s="10"/>
      <c r="O47" s="10"/>
      <c r="P47" s="10"/>
      <c r="Q47" s="10"/>
      <c r="R47" s="5"/>
      <c r="S47" s="5"/>
      <c r="T47" s="6"/>
      <c r="U47" s="7"/>
      <c r="V47" s="5"/>
      <c r="W47" s="6"/>
      <c r="X47" s="10"/>
      <c r="Y47" s="41">
        <f t="shared" si="14"/>
        <v>0</v>
      </c>
      <c r="Z47" s="21">
        <f t="shared" si="15"/>
        <v>0</v>
      </c>
      <c r="AA47" s="22">
        <f t="shared" si="16"/>
        <v>0</v>
      </c>
      <c r="AB47" s="23">
        <f t="shared" si="17"/>
        <v>0</v>
      </c>
      <c r="AC47" s="23">
        <f t="shared" si="18"/>
        <v>0</v>
      </c>
      <c r="AD47" s="23">
        <f t="shared" si="19"/>
        <v>0</v>
      </c>
      <c r="AE47" s="23">
        <f t="shared" si="20"/>
        <v>0</v>
      </c>
    </row>
    <row r="48" spans="2:31" s="15" customFormat="1" ht="17.25" x14ac:dyDescent="0.3"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30"/>
      <c r="S48" s="30"/>
      <c r="T48" s="31"/>
      <c r="U48" s="32"/>
      <c r="V48" s="31"/>
      <c r="W48" s="31"/>
      <c r="X48" s="29"/>
      <c r="Y48" s="41">
        <f t="shared" si="14"/>
        <v>0</v>
      </c>
      <c r="Z48" s="21">
        <f t="shared" si="15"/>
        <v>0</v>
      </c>
      <c r="AA48" s="22">
        <f t="shared" si="16"/>
        <v>0</v>
      </c>
      <c r="AB48" s="23">
        <f t="shared" si="17"/>
        <v>0</v>
      </c>
      <c r="AC48" s="23">
        <f t="shared" si="18"/>
        <v>0</v>
      </c>
      <c r="AD48" s="23">
        <f t="shared" si="19"/>
        <v>0</v>
      </c>
      <c r="AE48" s="23">
        <f t="shared" si="20"/>
        <v>0</v>
      </c>
    </row>
    <row r="49" ht="17.25" customHeight="1" x14ac:dyDescent="0.3"/>
    <row r="50" s="15" customFormat="1" ht="17.25" x14ac:dyDescent="0.3"/>
  </sheetData>
  <phoneticPr fontId="3" type="noConversion"/>
  <conditionalFormatting sqref="Y8:AE48">
    <cfRule type="cellIs" dxfId="0" priority="2" operator="equal">
      <formula>0</formula>
    </cfRule>
  </conditionalFormatting>
  <printOptions horizontalCentered="1"/>
  <pageMargins left="0" right="0" top="0.39370078740157483" bottom="0" header="0" footer="0"/>
  <pageSetup paperSize="8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4B40-EC1D-4825-BD81-30BD887440F3}">
  <dimension ref="B2:F19"/>
  <sheetViews>
    <sheetView zoomScaleNormal="100" workbookViewId="0">
      <selection activeCell="B22" sqref="B22"/>
    </sheetView>
  </sheetViews>
  <sheetFormatPr defaultRowHeight="16.5" x14ac:dyDescent="0.3"/>
  <cols>
    <col min="1" max="2" width="9" style="55"/>
    <col min="3" max="3" width="22.25" style="55" customWidth="1"/>
    <col min="4" max="4" width="35.375" style="55" bestFit="1" customWidth="1"/>
    <col min="5" max="5" width="25.25" style="55" customWidth="1"/>
    <col min="6" max="6" width="15.625" style="55" customWidth="1"/>
    <col min="7" max="10" width="9" style="55"/>
    <col min="11" max="11" width="13.75" style="55" customWidth="1"/>
    <col min="12" max="16384" width="9" style="55"/>
  </cols>
  <sheetData>
    <row r="2" spans="2:6" ht="34.5" customHeight="1" x14ac:dyDescent="0.3">
      <c r="B2" s="60" t="s">
        <v>161</v>
      </c>
      <c r="C2" s="50"/>
      <c r="D2" s="50"/>
      <c r="E2" s="50"/>
      <c r="F2" s="51"/>
    </row>
    <row r="3" spans="2:6" x14ac:dyDescent="0.3">
      <c r="B3" s="58" t="s">
        <v>146</v>
      </c>
      <c r="C3" s="58" t="s">
        <v>147</v>
      </c>
      <c r="D3" s="58" t="s">
        <v>149</v>
      </c>
      <c r="E3" s="82" t="s">
        <v>148</v>
      </c>
      <c r="F3" s="83"/>
    </row>
    <row r="4" spans="2:6" x14ac:dyDescent="0.3">
      <c r="B4" s="67" t="s">
        <v>174</v>
      </c>
      <c r="C4" s="59"/>
      <c r="D4" s="59"/>
      <c r="E4" s="59"/>
      <c r="F4" s="59"/>
    </row>
    <row r="5" spans="2:6" x14ac:dyDescent="0.3">
      <c r="B5" s="56" t="s">
        <v>158</v>
      </c>
      <c r="C5" s="57" t="s">
        <v>153</v>
      </c>
      <c r="D5" s="57"/>
      <c r="E5" s="57"/>
      <c r="F5" s="57">
        <v>485</v>
      </c>
    </row>
    <row r="6" spans="2:6" x14ac:dyDescent="0.3">
      <c r="B6" s="56" t="s">
        <v>159</v>
      </c>
      <c r="C6" s="57" t="s">
        <v>154</v>
      </c>
      <c r="D6" s="57"/>
      <c r="E6" s="57"/>
      <c r="F6" s="57"/>
    </row>
    <row r="7" spans="2:6" x14ac:dyDescent="0.3">
      <c r="B7" s="56" t="s">
        <v>160</v>
      </c>
      <c r="C7" s="57" t="s">
        <v>206</v>
      </c>
      <c r="D7" s="57" t="s">
        <v>150</v>
      </c>
      <c r="E7" s="57" t="s">
        <v>151</v>
      </c>
      <c r="F7" s="57"/>
    </row>
    <row r="8" spans="2:6" x14ac:dyDescent="0.3">
      <c r="B8" s="56">
        <v>1</v>
      </c>
      <c r="C8" s="57" t="s">
        <v>155</v>
      </c>
      <c r="D8" s="57" t="s">
        <v>156</v>
      </c>
      <c r="E8" s="57" t="s">
        <v>157</v>
      </c>
      <c r="F8" s="57"/>
    </row>
    <row r="9" spans="2:6" x14ac:dyDescent="0.3">
      <c r="B9" s="56">
        <v>2</v>
      </c>
      <c r="C9" s="57" t="s">
        <v>274</v>
      </c>
      <c r="D9" s="57"/>
      <c r="E9" s="57" t="s">
        <v>302</v>
      </c>
      <c r="F9" s="57" t="s">
        <v>301</v>
      </c>
    </row>
    <row r="10" spans="2:6" x14ac:dyDescent="0.3">
      <c r="B10" s="56">
        <v>3</v>
      </c>
      <c r="C10" s="57" t="s">
        <v>152</v>
      </c>
      <c r="D10" s="57"/>
      <c r="E10" s="57"/>
      <c r="F10" s="57"/>
    </row>
    <row r="11" spans="2:6" x14ac:dyDescent="0.3">
      <c r="B11" s="56">
        <v>4</v>
      </c>
      <c r="C11" s="57" t="s">
        <v>152</v>
      </c>
      <c r="D11" s="57"/>
      <c r="E11" s="57"/>
      <c r="F11" s="57"/>
    </row>
    <row r="12" spans="2:6" x14ac:dyDescent="0.3">
      <c r="B12" s="56">
        <v>5</v>
      </c>
      <c r="C12" s="57" t="s">
        <v>152</v>
      </c>
      <c r="D12" s="57"/>
      <c r="E12" s="57"/>
      <c r="F12" s="57"/>
    </row>
    <row r="13" spans="2:6" x14ac:dyDescent="0.3">
      <c r="B13" s="56"/>
      <c r="C13" s="57" t="s">
        <v>152</v>
      </c>
      <c r="D13" s="57"/>
      <c r="E13" s="57"/>
      <c r="F13" s="57"/>
    </row>
    <row r="14" spans="2:6" x14ac:dyDescent="0.3">
      <c r="B14" s="56"/>
      <c r="C14" s="57" t="s">
        <v>152</v>
      </c>
      <c r="D14" s="57"/>
      <c r="E14" s="57"/>
      <c r="F14" s="57"/>
    </row>
    <row r="15" spans="2:6" x14ac:dyDescent="0.3">
      <c r="B15" s="56"/>
      <c r="C15" s="57" t="s">
        <v>152</v>
      </c>
      <c r="D15" s="57"/>
      <c r="E15" s="57"/>
      <c r="F15" s="57"/>
    </row>
    <row r="16" spans="2:6" x14ac:dyDescent="0.3">
      <c r="B16" s="56"/>
      <c r="C16" s="57" t="s">
        <v>152</v>
      </c>
      <c r="D16" s="57"/>
      <c r="E16" s="57"/>
      <c r="F16" s="57"/>
    </row>
    <row r="17" spans="2:6" x14ac:dyDescent="0.3">
      <c r="B17" s="56"/>
      <c r="C17" s="57" t="s">
        <v>152</v>
      </c>
      <c r="D17" s="57"/>
      <c r="E17" s="57"/>
      <c r="F17" s="57"/>
    </row>
    <row r="18" spans="2:6" x14ac:dyDescent="0.3">
      <c r="B18" s="56"/>
      <c r="C18" s="57" t="s">
        <v>152</v>
      </c>
      <c r="D18" s="57"/>
      <c r="E18" s="57"/>
      <c r="F18" s="57"/>
    </row>
    <row r="19" spans="2:6" x14ac:dyDescent="0.3">
      <c r="B19" s="56"/>
      <c r="C19" s="57" t="s">
        <v>152</v>
      </c>
      <c r="D19" s="57"/>
      <c r="E19" s="57"/>
      <c r="F19" s="57"/>
    </row>
  </sheetData>
  <mergeCells count="1">
    <mergeCell ref="E3:F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0581-839B-45A6-B520-F1EF6322EEBA}">
  <dimension ref="B1:N99"/>
  <sheetViews>
    <sheetView zoomScale="85" zoomScaleNormal="85" workbookViewId="0">
      <pane ySplit="3" topLeftCell="A4" activePane="bottomLeft" state="frozen"/>
      <selection pane="bottomLeft" activeCell="F84" sqref="F84"/>
    </sheetView>
  </sheetViews>
  <sheetFormatPr defaultRowHeight="16.5" x14ac:dyDescent="0.3"/>
  <cols>
    <col min="1" max="1" width="2.75" customWidth="1"/>
    <col min="2" max="2" width="11.625" customWidth="1"/>
    <col min="3" max="3" width="5.75" customWidth="1"/>
    <col min="4" max="4" width="40.625" customWidth="1"/>
    <col min="5" max="5" width="4.75" customWidth="1"/>
    <col min="6" max="6" width="30.625" customWidth="1"/>
    <col min="7" max="7" width="11.625" customWidth="1"/>
    <col min="8" max="8" width="5.75" customWidth="1"/>
    <col min="9" max="9" width="40.625" customWidth="1"/>
    <col min="10" max="10" width="4.75" customWidth="1"/>
    <col min="11" max="11" width="30.625" style="52" customWidth="1"/>
    <col min="12" max="12" width="8.375" customWidth="1"/>
    <col min="13" max="13" width="19.375" customWidth="1"/>
  </cols>
  <sheetData>
    <row r="1" spans="2:14" ht="5.0999999999999996" customHeight="1" x14ac:dyDescent="0.3"/>
    <row r="2" spans="2:14" ht="26.25" x14ac:dyDescent="0.3">
      <c r="B2" s="65" t="s">
        <v>173</v>
      </c>
      <c r="C2" s="80"/>
      <c r="D2" s="80" t="s">
        <v>300</v>
      </c>
      <c r="E2" s="80"/>
      <c r="F2" s="80"/>
      <c r="G2" s="80"/>
      <c r="H2" s="80"/>
      <c r="I2" s="80"/>
      <c r="J2" s="80"/>
      <c r="K2" s="81"/>
    </row>
    <row r="3" spans="2:14" x14ac:dyDescent="0.3">
      <c r="B3" s="66" t="s">
        <v>162</v>
      </c>
      <c r="C3" s="66" t="s">
        <v>163</v>
      </c>
      <c r="D3" s="66" t="s">
        <v>164</v>
      </c>
      <c r="E3" s="66" t="s">
        <v>165</v>
      </c>
      <c r="F3" s="66" t="s">
        <v>179</v>
      </c>
      <c r="G3" s="66" t="s">
        <v>162</v>
      </c>
      <c r="H3" s="66" t="s">
        <v>163</v>
      </c>
      <c r="I3" s="66" t="s">
        <v>164</v>
      </c>
      <c r="J3" s="66" t="s">
        <v>165</v>
      </c>
      <c r="K3" s="66" t="s">
        <v>179</v>
      </c>
    </row>
    <row r="4" spans="2:14" ht="16.899999999999999" customHeight="1" x14ac:dyDescent="0.3">
      <c r="B4" s="67" t="s">
        <v>174</v>
      </c>
      <c r="C4" s="67"/>
      <c r="D4" s="67"/>
      <c r="E4" s="67"/>
      <c r="F4" s="67"/>
      <c r="G4" s="67"/>
      <c r="H4" s="67"/>
      <c r="I4" s="67"/>
      <c r="J4" s="67"/>
      <c r="K4" s="68"/>
    </row>
    <row r="5" spans="2:14" ht="16.899999999999999" customHeight="1" x14ac:dyDescent="0.3">
      <c r="B5" s="88" t="s">
        <v>178</v>
      </c>
      <c r="C5" s="69" t="s">
        <v>305</v>
      </c>
      <c r="D5" s="70" t="s">
        <v>189</v>
      </c>
      <c r="E5" s="71" t="s">
        <v>194</v>
      </c>
      <c r="F5" s="72"/>
      <c r="G5" s="87"/>
      <c r="H5" s="69" t="s">
        <v>321</v>
      </c>
      <c r="I5" s="73" t="s">
        <v>180</v>
      </c>
      <c r="J5" s="71" t="s">
        <v>194</v>
      </c>
      <c r="K5" s="74"/>
      <c r="M5" s="63" t="s">
        <v>167</v>
      </c>
      <c r="N5" s="63">
        <f>COUNTIF(B:K,"Digital
In Put")</f>
        <v>1</v>
      </c>
    </row>
    <row r="6" spans="2:14" ht="16.899999999999999" customHeight="1" x14ac:dyDescent="0.3">
      <c r="B6" s="88"/>
      <c r="C6" s="69" t="s">
        <v>306</v>
      </c>
      <c r="D6" s="70" t="s">
        <v>188</v>
      </c>
      <c r="E6" s="71" t="s">
        <v>194</v>
      </c>
      <c r="F6" s="72"/>
      <c r="G6" s="87"/>
      <c r="H6" s="69" t="s">
        <v>322</v>
      </c>
      <c r="I6" s="73"/>
      <c r="J6" s="71"/>
      <c r="K6" s="74"/>
      <c r="M6" s="63" t="s">
        <v>168</v>
      </c>
      <c r="N6" s="63">
        <f>COUNTIF(B:K,"Digital
Out Put")</f>
        <v>0</v>
      </c>
    </row>
    <row r="7" spans="2:14" ht="16.899999999999999" customHeight="1" x14ac:dyDescent="0.3">
      <c r="B7" s="88"/>
      <c r="C7" s="69" t="s">
        <v>307</v>
      </c>
      <c r="D7" s="70"/>
      <c r="E7" s="71"/>
      <c r="F7" s="72"/>
      <c r="G7" s="87"/>
      <c r="H7" s="69" t="s">
        <v>323</v>
      </c>
      <c r="I7" s="73"/>
      <c r="J7" s="71"/>
      <c r="K7" s="74"/>
      <c r="M7" s="63" t="s">
        <v>296</v>
      </c>
      <c r="N7" s="63">
        <f>COUNTIF(B:K,"Digital
In Put(16ch)")</f>
        <v>1</v>
      </c>
    </row>
    <row r="8" spans="2:14" ht="16.899999999999999" customHeight="1" x14ac:dyDescent="0.3">
      <c r="B8" s="88"/>
      <c r="C8" s="69" t="s">
        <v>308</v>
      </c>
      <c r="D8" s="70" t="s">
        <v>187</v>
      </c>
      <c r="E8" s="71" t="s">
        <v>194</v>
      </c>
      <c r="F8" s="72"/>
      <c r="G8" s="87"/>
      <c r="H8" s="69" t="s">
        <v>324</v>
      </c>
      <c r="I8" s="73"/>
      <c r="J8" s="71"/>
      <c r="K8" s="74"/>
      <c r="M8" s="63" t="s">
        <v>297</v>
      </c>
      <c r="N8" s="63">
        <f>COUNTIF(B:K,"Digital
Out Put(16ch)")</f>
        <v>1</v>
      </c>
    </row>
    <row r="9" spans="2:14" ht="16.899999999999999" customHeight="1" x14ac:dyDescent="0.3">
      <c r="B9" s="88"/>
      <c r="C9" s="69" t="s">
        <v>309</v>
      </c>
      <c r="D9" s="70" t="s">
        <v>190</v>
      </c>
      <c r="E9" s="71" t="s">
        <v>194</v>
      </c>
      <c r="F9" s="72"/>
      <c r="G9" s="87"/>
      <c r="H9" s="69" t="s">
        <v>325</v>
      </c>
      <c r="I9" s="73" t="s">
        <v>184</v>
      </c>
      <c r="J9" s="71" t="s">
        <v>194</v>
      </c>
      <c r="K9" s="74"/>
      <c r="M9" s="63" t="s">
        <v>170</v>
      </c>
      <c r="N9" s="63">
        <f>COUNTIF(B:K,"Digital
In/Out Put")</f>
        <v>3</v>
      </c>
    </row>
    <row r="10" spans="2:14" ht="16.899999999999999" customHeight="1" x14ac:dyDescent="0.3">
      <c r="B10" s="88"/>
      <c r="C10" s="69" t="s">
        <v>310</v>
      </c>
      <c r="D10" s="70" t="s">
        <v>191</v>
      </c>
      <c r="E10" s="71" t="s">
        <v>194</v>
      </c>
      <c r="F10" s="72"/>
      <c r="G10" s="87"/>
      <c r="H10" s="69" t="s">
        <v>326</v>
      </c>
      <c r="I10" s="73" t="s">
        <v>185</v>
      </c>
      <c r="J10" s="71" t="s">
        <v>194</v>
      </c>
      <c r="K10" s="74"/>
      <c r="M10" s="63" t="s">
        <v>169</v>
      </c>
      <c r="N10" s="63">
        <f>COUNTIF(B:K,"Analog
In Put")</f>
        <v>3</v>
      </c>
    </row>
    <row r="11" spans="2:14" ht="16.899999999999999" customHeight="1" x14ac:dyDescent="0.3">
      <c r="B11" s="88"/>
      <c r="C11" s="69" t="s">
        <v>311</v>
      </c>
      <c r="D11" s="70"/>
      <c r="E11" s="71"/>
      <c r="F11" s="72"/>
      <c r="G11" s="87"/>
      <c r="H11" s="69" t="s">
        <v>327</v>
      </c>
      <c r="I11" s="73" t="s">
        <v>186</v>
      </c>
      <c r="J11" s="71" t="s">
        <v>194</v>
      </c>
      <c r="K11" s="74"/>
      <c r="M11" s="63" t="s">
        <v>170</v>
      </c>
      <c r="N11" s="63">
        <f>COUNTIF(B:K,"Analog
Out Put")</f>
        <v>1</v>
      </c>
    </row>
    <row r="12" spans="2:14" ht="16.899999999999999" customHeight="1" x14ac:dyDescent="0.3">
      <c r="B12" s="88"/>
      <c r="C12" s="69" t="s">
        <v>312</v>
      </c>
      <c r="D12" s="70" t="s">
        <v>192</v>
      </c>
      <c r="E12" s="71" t="s">
        <v>194</v>
      </c>
      <c r="F12" s="72"/>
      <c r="G12" s="87"/>
      <c r="H12" s="69" t="s">
        <v>328</v>
      </c>
      <c r="I12" s="70" t="s">
        <v>282</v>
      </c>
      <c r="J12" s="71"/>
      <c r="K12" s="74" t="s">
        <v>284</v>
      </c>
      <c r="M12" s="63" t="s">
        <v>176</v>
      </c>
      <c r="N12" s="63">
        <f>COUNTIF(B:K,"Analog
In/Out Put")</f>
        <v>0</v>
      </c>
    </row>
    <row r="13" spans="2:14" ht="16.899999999999999" customHeight="1" x14ac:dyDescent="0.3">
      <c r="B13" s="88"/>
      <c r="C13" s="69" t="s">
        <v>313</v>
      </c>
      <c r="D13" s="70" t="s">
        <v>193</v>
      </c>
      <c r="E13" s="71" t="s">
        <v>194</v>
      </c>
      <c r="F13" s="72"/>
      <c r="G13" s="87"/>
      <c r="H13" s="69" t="s">
        <v>329</v>
      </c>
      <c r="I13" s="70" t="s">
        <v>283</v>
      </c>
      <c r="J13" s="71"/>
      <c r="K13" s="74" t="s">
        <v>284</v>
      </c>
      <c r="M13" s="63" t="s">
        <v>171</v>
      </c>
      <c r="N13" s="63">
        <f>COUNTIF(B:K,"Safety
In Put")</f>
        <v>0</v>
      </c>
    </row>
    <row r="14" spans="2:14" ht="16.899999999999999" customHeight="1" x14ac:dyDescent="0.3">
      <c r="B14" s="88"/>
      <c r="C14" s="69" t="s">
        <v>314</v>
      </c>
      <c r="D14" s="75"/>
      <c r="E14" s="71"/>
      <c r="F14" s="74"/>
      <c r="G14" s="87"/>
      <c r="H14" s="69" t="s">
        <v>330</v>
      </c>
      <c r="I14" s="75"/>
      <c r="J14" s="71"/>
      <c r="K14" s="74"/>
      <c r="M14" s="63" t="s">
        <v>172</v>
      </c>
      <c r="N14" s="63">
        <f>COUNTIF(B:K,"Safety
Out Put")</f>
        <v>0</v>
      </c>
    </row>
    <row r="15" spans="2:14" ht="16.899999999999999" customHeight="1" x14ac:dyDescent="0.3">
      <c r="B15" s="88"/>
      <c r="C15" s="69" t="s">
        <v>315</v>
      </c>
      <c r="D15" s="70" t="s">
        <v>181</v>
      </c>
      <c r="E15" s="71" t="s">
        <v>194</v>
      </c>
      <c r="F15" s="74"/>
      <c r="G15" s="87"/>
      <c r="H15" s="69" t="s">
        <v>331</v>
      </c>
      <c r="I15" s="75"/>
      <c r="J15" s="71"/>
      <c r="K15" s="74"/>
      <c r="M15" s="63" t="s">
        <v>177</v>
      </c>
      <c r="N15" s="63">
        <f>COUNTIF(B:K,"Safety
In/Out Put")</f>
        <v>0</v>
      </c>
    </row>
    <row r="16" spans="2:14" ht="16.899999999999999" customHeight="1" x14ac:dyDescent="0.3">
      <c r="B16" s="88"/>
      <c r="C16" s="69" t="s">
        <v>316</v>
      </c>
      <c r="D16" s="70"/>
      <c r="E16" s="71"/>
      <c r="F16" s="74"/>
      <c r="G16" s="87"/>
      <c r="H16" s="69" t="s">
        <v>332</v>
      </c>
      <c r="I16" s="75"/>
      <c r="J16" s="71"/>
      <c r="K16" s="74"/>
    </row>
    <row r="17" spans="2:11" ht="16.899999999999999" customHeight="1" x14ac:dyDescent="0.3">
      <c r="B17" s="88"/>
      <c r="C17" s="69" t="s">
        <v>317</v>
      </c>
      <c r="D17" s="75"/>
      <c r="E17" s="71"/>
      <c r="F17" s="74"/>
      <c r="G17" s="87"/>
      <c r="H17" s="69" t="s">
        <v>333</v>
      </c>
      <c r="I17" s="75"/>
      <c r="J17" s="71"/>
      <c r="K17" s="74"/>
    </row>
    <row r="18" spans="2:11" ht="16.899999999999999" customHeight="1" x14ac:dyDescent="0.3">
      <c r="B18" s="88"/>
      <c r="C18" s="69" t="s">
        <v>318</v>
      </c>
      <c r="D18" s="75"/>
      <c r="E18" s="71"/>
      <c r="F18" s="74"/>
      <c r="G18" s="87"/>
      <c r="H18" s="69" t="s">
        <v>334</v>
      </c>
      <c r="I18" s="75"/>
      <c r="J18" s="71"/>
      <c r="K18" s="74"/>
    </row>
    <row r="19" spans="2:11" ht="16.899999999999999" customHeight="1" x14ac:dyDescent="0.3">
      <c r="B19" s="88"/>
      <c r="C19" s="69" t="s">
        <v>319</v>
      </c>
      <c r="D19" s="75" t="s">
        <v>182</v>
      </c>
      <c r="E19" s="71" t="s">
        <v>194</v>
      </c>
      <c r="F19" s="74"/>
      <c r="G19" s="87"/>
      <c r="H19" s="69" t="s">
        <v>335</v>
      </c>
      <c r="I19" s="75"/>
      <c r="J19" s="71"/>
      <c r="K19" s="74"/>
    </row>
    <row r="20" spans="2:11" ht="16.899999999999999" customHeight="1" x14ac:dyDescent="0.3">
      <c r="B20" s="88"/>
      <c r="C20" s="69" t="s">
        <v>320</v>
      </c>
      <c r="D20" s="75" t="s">
        <v>183</v>
      </c>
      <c r="E20" s="71" t="s">
        <v>194</v>
      </c>
      <c r="F20" s="74"/>
      <c r="G20" s="87"/>
      <c r="H20" s="69" t="s">
        <v>336</v>
      </c>
      <c r="I20" s="75"/>
      <c r="J20" s="71"/>
      <c r="K20" s="74"/>
    </row>
    <row r="21" spans="2:11" ht="16.899999999999999" customHeight="1" x14ac:dyDescent="0.3">
      <c r="B21" s="61"/>
      <c r="C21" s="61"/>
      <c r="D21" s="64"/>
      <c r="E21" s="61"/>
      <c r="F21" s="61"/>
      <c r="G21" s="61"/>
      <c r="H21" s="61"/>
      <c r="I21" s="61"/>
      <c r="J21" s="61"/>
      <c r="K21" s="62"/>
    </row>
    <row r="22" spans="2:11" ht="16.899999999999999" customHeight="1" x14ac:dyDescent="0.3">
      <c r="B22" s="88" t="s">
        <v>178</v>
      </c>
      <c r="C22" s="69" t="s">
        <v>337</v>
      </c>
      <c r="D22" s="70" t="s">
        <v>210</v>
      </c>
      <c r="E22" s="71" t="s">
        <v>195</v>
      </c>
      <c r="F22" s="76" t="s">
        <v>196</v>
      </c>
      <c r="G22" s="87"/>
      <c r="H22" s="69" t="s">
        <v>353</v>
      </c>
      <c r="I22" s="70" t="s">
        <v>215</v>
      </c>
      <c r="J22" s="71" t="s">
        <v>194</v>
      </c>
      <c r="K22" s="74" t="s">
        <v>197</v>
      </c>
    </row>
    <row r="23" spans="2:11" ht="16.899999999999999" customHeight="1" x14ac:dyDescent="0.3">
      <c r="B23" s="88"/>
      <c r="C23" s="69" t="s">
        <v>338</v>
      </c>
      <c r="D23" s="70" t="s">
        <v>211</v>
      </c>
      <c r="E23" s="71" t="s">
        <v>195</v>
      </c>
      <c r="F23" s="76" t="s">
        <v>196</v>
      </c>
      <c r="G23" s="87"/>
      <c r="H23" s="69" t="s">
        <v>354</v>
      </c>
      <c r="I23" s="70" t="s">
        <v>216</v>
      </c>
      <c r="J23" s="71" t="s">
        <v>194</v>
      </c>
      <c r="K23" s="74" t="s">
        <v>197</v>
      </c>
    </row>
    <row r="24" spans="2:11" ht="16.899999999999999" customHeight="1" x14ac:dyDescent="0.3">
      <c r="B24" s="88"/>
      <c r="C24" s="69" t="s">
        <v>339</v>
      </c>
      <c r="D24" s="70"/>
      <c r="E24" s="71"/>
      <c r="F24" s="76"/>
      <c r="G24" s="87"/>
      <c r="H24" s="69" t="s">
        <v>355</v>
      </c>
      <c r="I24" s="70" t="s">
        <v>217</v>
      </c>
      <c r="J24" s="71" t="s">
        <v>194</v>
      </c>
      <c r="K24" s="74" t="s">
        <v>197</v>
      </c>
    </row>
    <row r="25" spans="2:11" ht="16.899999999999999" customHeight="1" x14ac:dyDescent="0.3">
      <c r="B25" s="88"/>
      <c r="C25" s="69" t="s">
        <v>340</v>
      </c>
      <c r="D25" s="70"/>
      <c r="E25" s="71"/>
      <c r="F25" s="76"/>
      <c r="G25" s="87"/>
      <c r="H25" s="69" t="s">
        <v>356</v>
      </c>
      <c r="I25" s="70"/>
      <c r="J25" s="71"/>
      <c r="K25" s="74"/>
    </row>
    <row r="26" spans="2:11" ht="16.899999999999999" customHeight="1" x14ac:dyDescent="0.3">
      <c r="B26" s="88"/>
      <c r="C26" s="69" t="s">
        <v>341</v>
      </c>
      <c r="D26" s="70" t="s">
        <v>212</v>
      </c>
      <c r="E26" s="71" t="s">
        <v>195</v>
      </c>
      <c r="F26" s="76" t="s">
        <v>198</v>
      </c>
      <c r="G26" s="87"/>
      <c r="H26" s="69" t="s">
        <v>357</v>
      </c>
      <c r="I26" s="70" t="s">
        <v>218</v>
      </c>
      <c r="J26" s="71" t="s">
        <v>223</v>
      </c>
      <c r="K26" s="74" t="s">
        <v>201</v>
      </c>
    </row>
    <row r="27" spans="2:11" ht="16.899999999999999" customHeight="1" x14ac:dyDescent="0.3">
      <c r="B27" s="88"/>
      <c r="C27" s="69" t="s">
        <v>342</v>
      </c>
      <c r="D27" s="70" t="s">
        <v>213</v>
      </c>
      <c r="E27" s="71" t="s">
        <v>195</v>
      </c>
      <c r="F27" s="76" t="s">
        <v>199</v>
      </c>
      <c r="G27" s="87"/>
      <c r="H27" s="69" t="s">
        <v>358</v>
      </c>
      <c r="I27" s="70" t="s">
        <v>219</v>
      </c>
      <c r="J27" s="71" t="s">
        <v>223</v>
      </c>
      <c r="K27" s="74" t="s">
        <v>202</v>
      </c>
    </row>
    <row r="28" spans="2:11" ht="16.899999999999999" customHeight="1" x14ac:dyDescent="0.3">
      <c r="B28" s="88"/>
      <c r="C28" s="69" t="s">
        <v>343</v>
      </c>
      <c r="D28" s="70" t="s">
        <v>214</v>
      </c>
      <c r="E28" s="71" t="s">
        <v>195</v>
      </c>
      <c r="F28" s="76" t="s">
        <v>200</v>
      </c>
      <c r="G28" s="87"/>
      <c r="H28" s="69" t="s">
        <v>359</v>
      </c>
      <c r="I28" s="70" t="s">
        <v>220</v>
      </c>
      <c r="J28" s="71" t="s">
        <v>194</v>
      </c>
      <c r="K28" s="74" t="s">
        <v>204</v>
      </c>
    </row>
    <row r="29" spans="2:11" ht="16.899999999999999" customHeight="1" x14ac:dyDescent="0.3">
      <c r="B29" s="88"/>
      <c r="C29" s="69" t="s">
        <v>344</v>
      </c>
      <c r="D29" s="70"/>
      <c r="E29" s="71"/>
      <c r="F29" s="76"/>
      <c r="G29" s="87"/>
      <c r="H29" s="69" t="s">
        <v>360</v>
      </c>
      <c r="I29" s="70" t="s">
        <v>221</v>
      </c>
      <c r="J29" s="71" t="s">
        <v>194</v>
      </c>
      <c r="K29" s="74" t="s">
        <v>203</v>
      </c>
    </row>
    <row r="30" spans="2:11" ht="16.899999999999999" customHeight="1" x14ac:dyDescent="0.3">
      <c r="B30" s="88"/>
      <c r="C30" s="69" t="s">
        <v>345</v>
      </c>
      <c r="D30" s="70"/>
      <c r="E30" s="71"/>
      <c r="F30" s="76"/>
      <c r="G30" s="87"/>
      <c r="H30" s="69" t="s">
        <v>361</v>
      </c>
      <c r="I30" s="70" t="s">
        <v>222</v>
      </c>
      <c r="J30" s="71" t="s">
        <v>194</v>
      </c>
      <c r="K30" s="74" t="s">
        <v>205</v>
      </c>
    </row>
    <row r="31" spans="2:11" ht="16.899999999999999" customHeight="1" x14ac:dyDescent="0.3">
      <c r="B31" s="88"/>
      <c r="C31" s="69" t="s">
        <v>346</v>
      </c>
      <c r="D31" s="70"/>
      <c r="E31" s="71"/>
      <c r="F31" s="76"/>
      <c r="G31" s="87"/>
      <c r="H31" s="69" t="s">
        <v>362</v>
      </c>
      <c r="I31" s="70"/>
      <c r="J31" s="71"/>
      <c r="K31" s="74"/>
    </row>
    <row r="32" spans="2:11" ht="16.899999999999999" customHeight="1" x14ac:dyDescent="0.3">
      <c r="B32" s="88"/>
      <c r="C32" s="69" t="s">
        <v>347</v>
      </c>
      <c r="D32" s="70" t="s">
        <v>224</v>
      </c>
      <c r="E32" s="71" t="s">
        <v>194</v>
      </c>
      <c r="F32" s="76" t="s">
        <v>207</v>
      </c>
      <c r="G32" s="87"/>
      <c r="H32" s="69" t="s">
        <v>363</v>
      </c>
      <c r="I32" s="70" t="s">
        <v>228</v>
      </c>
      <c r="J32" s="71" t="s">
        <v>194</v>
      </c>
      <c r="K32" s="74" t="s">
        <v>209</v>
      </c>
    </row>
    <row r="33" spans="2:11" ht="16.899999999999999" customHeight="1" x14ac:dyDescent="0.3">
      <c r="B33" s="88"/>
      <c r="C33" s="69" t="s">
        <v>348</v>
      </c>
      <c r="D33" s="70" t="s">
        <v>225</v>
      </c>
      <c r="E33" s="71" t="s">
        <v>194</v>
      </c>
      <c r="F33" s="76" t="s">
        <v>208</v>
      </c>
      <c r="G33" s="87"/>
      <c r="H33" s="69" t="s">
        <v>364</v>
      </c>
      <c r="I33" s="70"/>
      <c r="J33" s="71"/>
      <c r="K33" s="74"/>
    </row>
    <row r="34" spans="2:11" ht="16.899999999999999" customHeight="1" x14ac:dyDescent="0.3">
      <c r="B34" s="88"/>
      <c r="C34" s="69" t="s">
        <v>349</v>
      </c>
      <c r="D34" s="70"/>
      <c r="E34" s="71"/>
      <c r="F34" s="76"/>
      <c r="G34" s="87"/>
      <c r="H34" s="69" t="s">
        <v>365</v>
      </c>
      <c r="I34" s="70"/>
      <c r="J34" s="71"/>
      <c r="K34" s="74"/>
    </row>
    <row r="35" spans="2:11" ht="16.899999999999999" customHeight="1" x14ac:dyDescent="0.3">
      <c r="B35" s="88"/>
      <c r="C35" s="69" t="s">
        <v>350</v>
      </c>
      <c r="D35" s="70" t="s">
        <v>226</v>
      </c>
      <c r="E35" s="71" t="s">
        <v>194</v>
      </c>
      <c r="F35" s="76" t="s">
        <v>207</v>
      </c>
      <c r="G35" s="87"/>
      <c r="H35" s="69" t="s">
        <v>366</v>
      </c>
      <c r="I35" s="70" t="s">
        <v>229</v>
      </c>
      <c r="J35" s="71" t="s">
        <v>194</v>
      </c>
      <c r="K35" s="74" t="s">
        <v>209</v>
      </c>
    </row>
    <row r="36" spans="2:11" ht="16.899999999999999" customHeight="1" x14ac:dyDescent="0.3">
      <c r="B36" s="88"/>
      <c r="C36" s="69" t="s">
        <v>351</v>
      </c>
      <c r="D36" s="70" t="s">
        <v>227</v>
      </c>
      <c r="E36" s="71" t="s">
        <v>194</v>
      </c>
      <c r="F36" s="76" t="s">
        <v>208</v>
      </c>
      <c r="G36" s="87"/>
      <c r="H36" s="69" t="s">
        <v>367</v>
      </c>
      <c r="I36" s="70"/>
      <c r="J36" s="71"/>
      <c r="K36" s="74"/>
    </row>
    <row r="37" spans="2:11" ht="16.899999999999999" customHeight="1" x14ac:dyDescent="0.3">
      <c r="B37" s="88"/>
      <c r="C37" s="69" t="s">
        <v>352</v>
      </c>
      <c r="D37" s="75"/>
      <c r="E37" s="71"/>
      <c r="F37" s="74"/>
      <c r="G37" s="87"/>
      <c r="H37" s="69" t="s">
        <v>368</v>
      </c>
      <c r="I37" s="70"/>
      <c r="J37" s="71"/>
      <c r="K37" s="74"/>
    </row>
    <row r="38" spans="2:11" ht="16.899999999999999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2"/>
    </row>
    <row r="39" spans="2:11" ht="16.899999999999999" customHeight="1" x14ac:dyDescent="0.3">
      <c r="B39" s="88" t="s">
        <v>175</v>
      </c>
      <c r="C39" s="69" t="s">
        <v>369</v>
      </c>
      <c r="D39" s="70" t="s">
        <v>244</v>
      </c>
      <c r="E39" s="69" t="s">
        <v>194</v>
      </c>
      <c r="F39" s="76"/>
      <c r="G39" s="87"/>
      <c r="H39" s="69" t="s">
        <v>385</v>
      </c>
      <c r="I39" s="70" t="s">
        <v>252</v>
      </c>
      <c r="J39" s="71"/>
      <c r="K39" s="74"/>
    </row>
    <row r="40" spans="2:11" ht="16.899999999999999" customHeight="1" x14ac:dyDescent="0.3">
      <c r="B40" s="88"/>
      <c r="C40" s="69" t="s">
        <v>370</v>
      </c>
      <c r="D40" s="70" t="s">
        <v>245</v>
      </c>
      <c r="E40" s="69" t="s">
        <v>194</v>
      </c>
      <c r="F40" s="76"/>
      <c r="G40" s="87"/>
      <c r="H40" s="69" t="s">
        <v>386</v>
      </c>
      <c r="I40" s="70" t="s">
        <v>253</v>
      </c>
      <c r="J40" s="71"/>
      <c r="K40" s="74"/>
    </row>
    <row r="41" spans="2:11" ht="16.899999999999999" customHeight="1" x14ac:dyDescent="0.3">
      <c r="B41" s="88"/>
      <c r="C41" s="69" t="s">
        <v>371</v>
      </c>
      <c r="D41" s="70"/>
      <c r="E41" s="69"/>
      <c r="F41" s="76"/>
      <c r="G41" s="87"/>
      <c r="H41" s="69" t="s">
        <v>387</v>
      </c>
      <c r="I41" s="70"/>
      <c r="J41" s="71"/>
      <c r="K41" s="74"/>
    </row>
    <row r="42" spans="2:11" ht="16.899999999999999" customHeight="1" x14ac:dyDescent="0.3">
      <c r="B42" s="88"/>
      <c r="C42" s="69" t="s">
        <v>372</v>
      </c>
      <c r="D42" s="70" t="s">
        <v>246</v>
      </c>
      <c r="E42" s="69" t="s">
        <v>194</v>
      </c>
      <c r="F42" s="76"/>
      <c r="G42" s="87"/>
      <c r="H42" s="69" t="s">
        <v>388</v>
      </c>
      <c r="I42" s="70"/>
      <c r="J42" s="71"/>
      <c r="K42" s="74"/>
    </row>
    <row r="43" spans="2:11" ht="16.899999999999999" customHeight="1" x14ac:dyDescent="0.3">
      <c r="B43" s="88"/>
      <c r="C43" s="69" t="s">
        <v>373</v>
      </c>
      <c r="D43" s="70" t="s">
        <v>247</v>
      </c>
      <c r="E43" s="69" t="s">
        <v>194</v>
      </c>
      <c r="F43" s="76"/>
      <c r="G43" s="87"/>
      <c r="H43" s="69" t="s">
        <v>389</v>
      </c>
      <c r="I43" s="70" t="s">
        <v>258</v>
      </c>
      <c r="J43" s="71"/>
      <c r="K43" s="74"/>
    </row>
    <row r="44" spans="2:11" ht="16.899999999999999" customHeight="1" x14ac:dyDescent="0.3">
      <c r="B44" s="88"/>
      <c r="C44" s="69" t="s">
        <v>374</v>
      </c>
      <c r="D44" s="70" t="s">
        <v>248</v>
      </c>
      <c r="E44" s="69" t="s">
        <v>194</v>
      </c>
      <c r="F44" s="76"/>
      <c r="G44" s="87"/>
      <c r="H44" s="69" t="s">
        <v>390</v>
      </c>
      <c r="I44" s="70" t="s">
        <v>259</v>
      </c>
      <c r="J44" s="71"/>
      <c r="K44" s="74"/>
    </row>
    <row r="45" spans="2:11" ht="16.899999999999999" customHeight="1" x14ac:dyDescent="0.3">
      <c r="B45" s="88"/>
      <c r="C45" s="69" t="s">
        <v>375</v>
      </c>
      <c r="D45" s="70"/>
      <c r="E45" s="69"/>
      <c r="F45" s="76"/>
      <c r="G45" s="87"/>
      <c r="H45" s="69" t="s">
        <v>391</v>
      </c>
      <c r="I45" s="70"/>
      <c r="J45" s="71"/>
      <c r="K45" s="74"/>
    </row>
    <row r="46" spans="2:11" ht="16.899999999999999" customHeight="1" x14ac:dyDescent="0.3">
      <c r="B46" s="88"/>
      <c r="C46" s="69" t="s">
        <v>376</v>
      </c>
      <c r="D46" s="70" t="s">
        <v>249</v>
      </c>
      <c r="E46" s="69" t="s">
        <v>194</v>
      </c>
      <c r="F46" s="76"/>
      <c r="G46" s="87"/>
      <c r="H46" s="69" t="s">
        <v>392</v>
      </c>
      <c r="I46" s="70"/>
      <c r="J46" s="71"/>
      <c r="K46" s="74"/>
    </row>
    <row r="47" spans="2:11" ht="16.899999999999999" customHeight="1" x14ac:dyDescent="0.3">
      <c r="B47" s="88"/>
      <c r="C47" s="69" t="s">
        <v>377</v>
      </c>
      <c r="D47" s="70" t="s">
        <v>250</v>
      </c>
      <c r="E47" s="69" t="s">
        <v>194</v>
      </c>
      <c r="F47" s="76"/>
      <c r="G47" s="87"/>
      <c r="H47" s="69" t="s">
        <v>393</v>
      </c>
      <c r="I47" s="75" t="s">
        <v>262</v>
      </c>
      <c r="J47" s="71"/>
      <c r="K47" s="74"/>
    </row>
    <row r="48" spans="2:11" ht="16.899999999999999" customHeight="1" x14ac:dyDescent="0.3">
      <c r="B48" s="88"/>
      <c r="C48" s="69" t="s">
        <v>378</v>
      </c>
      <c r="D48" s="70"/>
      <c r="E48" s="69"/>
      <c r="F48" s="76"/>
      <c r="G48" s="87"/>
      <c r="H48" s="69" t="s">
        <v>394</v>
      </c>
      <c r="I48" s="75" t="s">
        <v>263</v>
      </c>
      <c r="J48" s="71"/>
      <c r="K48" s="74"/>
    </row>
    <row r="49" spans="2:11" ht="16.899999999999999" customHeight="1" x14ac:dyDescent="0.3">
      <c r="B49" s="88"/>
      <c r="C49" s="69" t="s">
        <v>379</v>
      </c>
      <c r="D49" s="70" t="s">
        <v>251</v>
      </c>
      <c r="E49" s="69" t="s">
        <v>194</v>
      </c>
      <c r="F49" s="74"/>
      <c r="G49" s="87"/>
      <c r="H49" s="69" t="s">
        <v>395</v>
      </c>
      <c r="I49" s="75" t="s">
        <v>264</v>
      </c>
      <c r="J49" s="71"/>
      <c r="K49" s="74"/>
    </row>
    <row r="50" spans="2:11" ht="16.899999999999999" customHeight="1" x14ac:dyDescent="0.3">
      <c r="B50" s="88"/>
      <c r="C50" s="69" t="s">
        <v>380</v>
      </c>
      <c r="D50" s="70"/>
      <c r="E50" s="69"/>
      <c r="F50" s="74"/>
      <c r="G50" s="87"/>
      <c r="H50" s="69" t="s">
        <v>396</v>
      </c>
      <c r="I50" s="75" t="s">
        <v>265</v>
      </c>
      <c r="J50" s="71"/>
      <c r="K50" s="74"/>
    </row>
    <row r="51" spans="2:11" ht="16.899999999999999" customHeight="1" x14ac:dyDescent="0.3">
      <c r="B51" s="88"/>
      <c r="C51" s="69" t="s">
        <v>381</v>
      </c>
      <c r="D51" s="75"/>
      <c r="E51" s="71"/>
      <c r="F51" s="74"/>
      <c r="G51" s="87"/>
      <c r="H51" s="69" t="s">
        <v>397</v>
      </c>
      <c r="I51" s="75"/>
      <c r="J51" s="71"/>
      <c r="K51" s="74"/>
    </row>
    <row r="52" spans="2:11" ht="16.899999999999999" customHeight="1" x14ac:dyDescent="0.3">
      <c r="B52" s="88"/>
      <c r="C52" s="69" t="s">
        <v>382</v>
      </c>
      <c r="D52" s="75"/>
      <c r="E52" s="71"/>
      <c r="F52" s="74"/>
      <c r="G52" s="87"/>
      <c r="H52" s="69" t="s">
        <v>398</v>
      </c>
      <c r="I52" s="75"/>
      <c r="J52" s="71"/>
      <c r="K52" s="74"/>
    </row>
    <row r="53" spans="2:11" ht="16.899999999999999" customHeight="1" x14ac:dyDescent="0.3">
      <c r="B53" s="88"/>
      <c r="C53" s="69" t="s">
        <v>383</v>
      </c>
      <c r="D53" s="75"/>
      <c r="E53" s="71"/>
      <c r="F53" s="74"/>
      <c r="G53" s="87"/>
      <c r="H53" s="69" t="s">
        <v>399</v>
      </c>
      <c r="I53" s="70" t="s">
        <v>279</v>
      </c>
      <c r="J53" s="71"/>
      <c r="K53" s="74"/>
    </row>
    <row r="54" spans="2:11" ht="16.899999999999999" customHeight="1" x14ac:dyDescent="0.3">
      <c r="B54" s="88"/>
      <c r="C54" s="69" t="s">
        <v>384</v>
      </c>
      <c r="D54" s="75"/>
      <c r="E54" s="71"/>
      <c r="F54" s="74"/>
      <c r="G54" s="87"/>
      <c r="H54" s="69" t="s">
        <v>400</v>
      </c>
      <c r="I54" s="70" t="s">
        <v>280</v>
      </c>
      <c r="J54" s="71"/>
      <c r="K54" s="74"/>
    </row>
    <row r="55" spans="2:11" ht="16.899999999999999" hidden="1" customHeight="1" x14ac:dyDescent="0.3">
      <c r="B55" s="77" t="s">
        <v>162</v>
      </c>
      <c r="C55" s="77" t="s">
        <v>163</v>
      </c>
      <c r="D55" s="77" t="s">
        <v>164</v>
      </c>
      <c r="E55" s="77" t="s">
        <v>165</v>
      </c>
      <c r="F55" s="78" t="s">
        <v>166</v>
      </c>
      <c r="G55" s="78"/>
      <c r="H55" s="77" t="s">
        <v>163</v>
      </c>
      <c r="I55" s="77" t="s">
        <v>164</v>
      </c>
      <c r="J55" s="77" t="s">
        <v>165</v>
      </c>
      <c r="K55" s="78" t="s">
        <v>166</v>
      </c>
    </row>
    <row r="56" spans="2:11" ht="16.899999999999999" customHeight="1" x14ac:dyDescent="0.3"/>
    <row r="57" spans="2:11" ht="16.899999999999999" customHeight="1" x14ac:dyDescent="0.3">
      <c r="B57" s="88" t="s">
        <v>178</v>
      </c>
      <c r="C57" s="69" t="s">
        <v>401</v>
      </c>
      <c r="D57" s="70" t="s">
        <v>266</v>
      </c>
      <c r="E57" s="71"/>
      <c r="F57" s="74"/>
      <c r="G57" s="87"/>
      <c r="H57" s="69" t="s">
        <v>417</v>
      </c>
      <c r="I57" s="70" t="s">
        <v>254</v>
      </c>
      <c r="J57" s="71"/>
      <c r="K57" s="74"/>
    </row>
    <row r="58" spans="2:11" ht="16.899999999999999" customHeight="1" x14ac:dyDescent="0.3">
      <c r="B58" s="88"/>
      <c r="C58" s="69" t="s">
        <v>402</v>
      </c>
      <c r="D58" s="70" t="s">
        <v>267</v>
      </c>
      <c r="E58" s="71"/>
      <c r="F58" s="74"/>
      <c r="G58" s="87"/>
      <c r="H58" s="69" t="s">
        <v>418</v>
      </c>
      <c r="I58" s="70"/>
      <c r="J58" s="71"/>
      <c r="K58" s="74"/>
    </row>
    <row r="59" spans="2:11" ht="16.899999999999999" customHeight="1" x14ac:dyDescent="0.3">
      <c r="B59" s="88"/>
      <c r="C59" s="69" t="s">
        <v>403</v>
      </c>
      <c r="D59" s="70" t="s">
        <v>269</v>
      </c>
      <c r="E59" s="71"/>
      <c r="F59" s="74"/>
      <c r="G59" s="87"/>
      <c r="H59" s="69" t="s">
        <v>419</v>
      </c>
      <c r="I59" s="70" t="s">
        <v>275</v>
      </c>
      <c r="J59" s="71"/>
      <c r="K59" s="74"/>
    </row>
    <row r="60" spans="2:11" ht="16.899999999999999" customHeight="1" x14ac:dyDescent="0.3">
      <c r="B60" s="88"/>
      <c r="C60" s="69" t="s">
        <v>404</v>
      </c>
      <c r="D60" s="70" t="s">
        <v>270</v>
      </c>
      <c r="E60" s="71"/>
      <c r="F60" s="74"/>
      <c r="G60" s="87"/>
      <c r="H60" s="69" t="s">
        <v>420</v>
      </c>
      <c r="I60" s="70"/>
      <c r="J60" s="71"/>
      <c r="K60" s="74"/>
    </row>
    <row r="61" spans="2:11" ht="16.899999999999999" customHeight="1" x14ac:dyDescent="0.3">
      <c r="B61" s="88"/>
      <c r="C61" s="69" t="s">
        <v>405</v>
      </c>
      <c r="D61" s="70"/>
      <c r="E61" s="71"/>
      <c r="F61" s="74"/>
      <c r="G61" s="87"/>
      <c r="H61" s="69" t="s">
        <v>421</v>
      </c>
      <c r="I61" s="75" t="s">
        <v>276</v>
      </c>
      <c r="J61" s="71"/>
      <c r="K61" s="74"/>
    </row>
    <row r="62" spans="2:11" ht="16.899999999999999" customHeight="1" x14ac:dyDescent="0.3">
      <c r="B62" s="88"/>
      <c r="C62" s="69" t="s">
        <v>406</v>
      </c>
      <c r="D62" s="70"/>
      <c r="E62" s="71"/>
      <c r="F62" s="74"/>
      <c r="G62" s="87"/>
      <c r="H62" s="69" t="s">
        <v>422</v>
      </c>
      <c r="I62" s="75" t="s">
        <v>277</v>
      </c>
      <c r="J62" s="71"/>
      <c r="K62" s="74"/>
    </row>
    <row r="63" spans="2:11" ht="16.899999999999999" customHeight="1" x14ac:dyDescent="0.3">
      <c r="B63" s="88"/>
      <c r="C63" s="69" t="s">
        <v>407</v>
      </c>
      <c r="D63" s="70"/>
      <c r="E63" s="71"/>
      <c r="F63" s="74"/>
      <c r="G63" s="87"/>
      <c r="H63" s="69" t="s">
        <v>423</v>
      </c>
      <c r="I63" s="75"/>
      <c r="J63" s="71"/>
      <c r="K63" s="74"/>
    </row>
    <row r="64" spans="2:11" ht="16.899999999999999" customHeight="1" x14ac:dyDescent="0.3">
      <c r="B64" s="88"/>
      <c r="C64" s="69" t="s">
        <v>408</v>
      </c>
      <c r="D64" s="70"/>
      <c r="E64" s="71"/>
      <c r="F64" s="74"/>
      <c r="G64" s="87"/>
      <c r="H64" s="69" t="s">
        <v>424</v>
      </c>
      <c r="I64" s="70" t="s">
        <v>278</v>
      </c>
      <c r="J64" s="71"/>
      <c r="K64" s="74"/>
    </row>
    <row r="65" spans="2:11" ht="16.899999999999999" customHeight="1" x14ac:dyDescent="0.3">
      <c r="B65" s="88"/>
      <c r="C65" s="69" t="s">
        <v>409</v>
      </c>
      <c r="D65" s="70"/>
      <c r="E65" s="71"/>
      <c r="F65" s="74"/>
      <c r="G65" s="87"/>
      <c r="H65" s="69" t="s">
        <v>425</v>
      </c>
      <c r="I65" s="70" t="s">
        <v>304</v>
      </c>
      <c r="J65" s="71"/>
      <c r="K65" s="74"/>
    </row>
    <row r="66" spans="2:11" ht="16.899999999999999" customHeight="1" x14ac:dyDescent="0.3">
      <c r="B66" s="88"/>
      <c r="C66" s="69" t="s">
        <v>410</v>
      </c>
      <c r="D66" s="70"/>
      <c r="E66" s="71"/>
      <c r="F66" s="74"/>
      <c r="G66" s="87"/>
      <c r="H66" s="69" t="s">
        <v>426</v>
      </c>
      <c r="I66" s="70" t="s">
        <v>303</v>
      </c>
      <c r="J66" s="71"/>
      <c r="K66" s="74"/>
    </row>
    <row r="67" spans="2:11" ht="16.899999999999999" customHeight="1" x14ac:dyDescent="0.3">
      <c r="B67" s="88"/>
      <c r="C67" s="69" t="s">
        <v>411</v>
      </c>
      <c r="D67" s="70"/>
      <c r="E67" s="71"/>
      <c r="F67" s="74"/>
      <c r="G67" s="87"/>
      <c r="H67" s="69" t="s">
        <v>427</v>
      </c>
      <c r="I67" s="70" t="s">
        <v>271</v>
      </c>
      <c r="J67" s="71"/>
      <c r="K67" s="74"/>
    </row>
    <row r="68" spans="2:11" ht="16.899999999999999" customHeight="1" x14ac:dyDescent="0.3">
      <c r="B68" s="88"/>
      <c r="C68" s="69" t="s">
        <v>412</v>
      </c>
      <c r="D68" s="70"/>
      <c r="E68" s="71"/>
      <c r="F68" s="74"/>
      <c r="G68" s="87"/>
      <c r="H68" s="69" t="s">
        <v>428</v>
      </c>
      <c r="I68" s="70"/>
      <c r="J68" s="71"/>
      <c r="K68" s="74"/>
    </row>
    <row r="69" spans="2:11" ht="16.899999999999999" customHeight="1" x14ac:dyDescent="0.3">
      <c r="B69" s="88"/>
      <c r="C69" s="69" t="s">
        <v>413</v>
      </c>
      <c r="D69" s="70"/>
      <c r="E69" s="71"/>
      <c r="F69" s="74"/>
      <c r="G69" s="87"/>
      <c r="H69" s="69" t="s">
        <v>429</v>
      </c>
      <c r="I69" s="79"/>
      <c r="J69" s="71"/>
      <c r="K69" s="74"/>
    </row>
    <row r="70" spans="2:11" ht="16.899999999999999" customHeight="1" x14ac:dyDescent="0.3">
      <c r="B70" s="88"/>
      <c r="C70" s="69" t="s">
        <v>414</v>
      </c>
      <c r="D70" s="70"/>
      <c r="E70" s="71"/>
      <c r="F70" s="74"/>
      <c r="G70" s="87"/>
      <c r="H70" s="69" t="s">
        <v>430</v>
      </c>
      <c r="I70" s="79"/>
      <c r="J70" s="71"/>
      <c r="K70" s="74"/>
    </row>
    <row r="71" spans="2:11" ht="16.899999999999999" customHeight="1" x14ac:dyDescent="0.3">
      <c r="B71" s="88"/>
      <c r="C71" s="69" t="s">
        <v>415</v>
      </c>
      <c r="D71" s="70"/>
      <c r="E71" s="71"/>
      <c r="F71" s="74"/>
      <c r="G71" s="87"/>
      <c r="H71" s="69" t="s">
        <v>431</v>
      </c>
      <c r="I71" s="70"/>
      <c r="J71" s="71"/>
      <c r="K71" s="74"/>
    </row>
    <row r="72" spans="2:11" ht="16.899999999999999" customHeight="1" x14ac:dyDescent="0.3">
      <c r="B72" s="88"/>
      <c r="C72" s="69" t="s">
        <v>416</v>
      </c>
      <c r="D72" s="70"/>
      <c r="E72" s="71"/>
      <c r="F72" s="74"/>
      <c r="G72" s="87"/>
      <c r="H72" s="69" t="s">
        <v>432</v>
      </c>
      <c r="I72" s="70"/>
      <c r="J72" s="71"/>
      <c r="K72" s="74"/>
    </row>
    <row r="73" spans="2:11" ht="16.899999999999999" customHeight="1" x14ac:dyDescent="0.3"/>
    <row r="74" spans="2:11" ht="16.899999999999999" customHeight="1" x14ac:dyDescent="0.3">
      <c r="B74" s="88" t="s">
        <v>298</v>
      </c>
      <c r="C74" s="69" t="s">
        <v>437</v>
      </c>
      <c r="D74" s="70" t="s">
        <v>287</v>
      </c>
      <c r="E74" s="71"/>
      <c r="F74" s="74" t="s">
        <v>285</v>
      </c>
      <c r="G74" s="88" t="s">
        <v>299</v>
      </c>
      <c r="H74" s="69" t="s">
        <v>453</v>
      </c>
      <c r="I74" s="70" t="s">
        <v>293</v>
      </c>
      <c r="J74" s="71"/>
      <c r="K74" s="74" t="s">
        <v>286</v>
      </c>
    </row>
    <row r="75" spans="2:11" ht="16.899999999999999" customHeight="1" x14ac:dyDescent="0.3">
      <c r="B75" s="88"/>
      <c r="C75" s="69" t="s">
        <v>438</v>
      </c>
      <c r="D75" s="70" t="s">
        <v>288</v>
      </c>
      <c r="E75" s="71"/>
      <c r="F75" s="74" t="s">
        <v>285</v>
      </c>
      <c r="G75" s="88"/>
      <c r="H75" s="69" t="s">
        <v>454</v>
      </c>
      <c r="I75" s="70" t="s">
        <v>294</v>
      </c>
      <c r="J75" s="71"/>
      <c r="K75" s="74" t="s">
        <v>286</v>
      </c>
    </row>
    <row r="76" spans="2:11" ht="16.899999999999999" customHeight="1" x14ac:dyDescent="0.3">
      <c r="B76" s="88"/>
      <c r="C76" s="69" t="s">
        <v>439</v>
      </c>
      <c r="D76" s="70" t="s">
        <v>289</v>
      </c>
      <c r="E76" s="71"/>
      <c r="F76" s="74" t="s">
        <v>285</v>
      </c>
      <c r="G76" s="88"/>
      <c r="H76" s="69" t="s">
        <v>455</v>
      </c>
      <c r="I76" s="70" t="s">
        <v>295</v>
      </c>
      <c r="J76" s="71"/>
      <c r="K76" s="74" t="s">
        <v>286</v>
      </c>
    </row>
    <row r="77" spans="2:11" ht="16.899999999999999" customHeight="1" x14ac:dyDescent="0.3">
      <c r="B77" s="88"/>
      <c r="C77" s="69" t="s">
        <v>440</v>
      </c>
      <c r="D77" s="70" t="s">
        <v>290</v>
      </c>
      <c r="E77" s="71"/>
      <c r="F77" s="74" t="s">
        <v>285</v>
      </c>
      <c r="G77" s="88"/>
      <c r="H77" s="69" t="s">
        <v>456</v>
      </c>
      <c r="I77" s="70" t="s">
        <v>257</v>
      </c>
      <c r="J77" s="71"/>
      <c r="K77" s="74" t="s">
        <v>286</v>
      </c>
    </row>
    <row r="78" spans="2:11" ht="16.899999999999999" customHeight="1" x14ac:dyDescent="0.3">
      <c r="B78" s="88"/>
      <c r="C78" s="69" t="s">
        <v>441</v>
      </c>
      <c r="D78" s="70" t="s">
        <v>291</v>
      </c>
      <c r="E78" s="71"/>
      <c r="F78" s="74" t="s">
        <v>285</v>
      </c>
      <c r="G78" s="88"/>
      <c r="H78" s="69" t="s">
        <v>457</v>
      </c>
      <c r="I78" s="75"/>
      <c r="J78" s="71"/>
      <c r="K78" s="74" t="s">
        <v>286</v>
      </c>
    </row>
    <row r="79" spans="2:11" ht="16.899999999999999" customHeight="1" x14ac:dyDescent="0.3">
      <c r="B79" s="88"/>
      <c r="C79" s="69" t="s">
        <v>442</v>
      </c>
      <c r="D79" s="70" t="s">
        <v>292</v>
      </c>
      <c r="E79" s="71"/>
      <c r="F79" s="74" t="s">
        <v>285</v>
      </c>
      <c r="G79" s="88"/>
      <c r="H79" s="69" t="s">
        <v>458</v>
      </c>
      <c r="I79" s="75"/>
      <c r="J79" s="71"/>
      <c r="K79" s="74" t="s">
        <v>286</v>
      </c>
    </row>
    <row r="80" spans="2:11" ht="16.899999999999999" customHeight="1" x14ac:dyDescent="0.3">
      <c r="B80" s="88"/>
      <c r="C80" s="69" t="s">
        <v>443</v>
      </c>
      <c r="D80" s="70" t="s">
        <v>255</v>
      </c>
      <c r="E80" s="71"/>
      <c r="F80" s="74" t="s">
        <v>285</v>
      </c>
      <c r="G80" s="88"/>
      <c r="H80" s="69" t="s">
        <v>459</v>
      </c>
      <c r="I80" s="75"/>
      <c r="J80" s="71"/>
      <c r="K80" s="74" t="s">
        <v>286</v>
      </c>
    </row>
    <row r="81" spans="2:11" ht="16.899999999999999" customHeight="1" x14ac:dyDescent="0.3">
      <c r="B81" s="88"/>
      <c r="C81" s="69" t="s">
        <v>444</v>
      </c>
      <c r="D81" s="70" t="s">
        <v>256</v>
      </c>
      <c r="E81" s="71"/>
      <c r="F81" s="74" t="s">
        <v>285</v>
      </c>
      <c r="G81" s="88"/>
      <c r="H81" s="69" t="s">
        <v>460</v>
      </c>
      <c r="I81" s="70"/>
      <c r="J81" s="71"/>
      <c r="K81" s="74" t="s">
        <v>286</v>
      </c>
    </row>
    <row r="82" spans="2:11" ht="16.899999999999999" customHeight="1" x14ac:dyDescent="0.3">
      <c r="B82" s="88"/>
      <c r="C82" s="69" t="s">
        <v>445</v>
      </c>
      <c r="D82" s="70"/>
      <c r="E82" s="71"/>
      <c r="F82" s="74" t="s">
        <v>285</v>
      </c>
      <c r="G82" s="88"/>
      <c r="H82" s="69" t="s">
        <v>461</v>
      </c>
      <c r="I82" s="70"/>
      <c r="J82" s="71"/>
      <c r="K82" s="74" t="s">
        <v>286</v>
      </c>
    </row>
    <row r="83" spans="2:11" ht="16.899999999999999" customHeight="1" x14ac:dyDescent="0.3">
      <c r="B83" s="88"/>
      <c r="C83" s="69" t="s">
        <v>446</v>
      </c>
      <c r="D83" s="70"/>
      <c r="E83" s="71"/>
      <c r="F83" s="74" t="s">
        <v>285</v>
      </c>
      <c r="G83" s="88"/>
      <c r="H83" s="69" t="s">
        <v>462</v>
      </c>
      <c r="I83" s="70"/>
      <c r="J83" s="71"/>
      <c r="K83" s="74" t="s">
        <v>286</v>
      </c>
    </row>
    <row r="84" spans="2:11" ht="16.899999999999999" customHeight="1" x14ac:dyDescent="0.3">
      <c r="B84" s="88"/>
      <c r="C84" s="69" t="s">
        <v>447</v>
      </c>
      <c r="D84" s="70"/>
      <c r="E84" s="71"/>
      <c r="F84" s="74" t="s">
        <v>285</v>
      </c>
      <c r="G84" s="88"/>
      <c r="H84" s="69" t="s">
        <v>463</v>
      </c>
      <c r="I84" s="70"/>
      <c r="J84" s="71"/>
      <c r="K84" s="74" t="s">
        <v>286</v>
      </c>
    </row>
    <row r="85" spans="2:11" ht="16.899999999999999" customHeight="1" x14ac:dyDescent="0.3">
      <c r="B85" s="88"/>
      <c r="C85" s="69" t="s">
        <v>448</v>
      </c>
      <c r="D85" s="70"/>
      <c r="E85" s="71"/>
      <c r="F85" s="74" t="s">
        <v>285</v>
      </c>
      <c r="G85" s="88"/>
      <c r="H85" s="69" t="s">
        <v>464</v>
      </c>
      <c r="I85" s="70"/>
      <c r="J85" s="71"/>
      <c r="K85" s="74" t="s">
        <v>286</v>
      </c>
    </row>
    <row r="86" spans="2:11" ht="16.899999999999999" customHeight="1" x14ac:dyDescent="0.3">
      <c r="B86" s="88"/>
      <c r="C86" s="69" t="s">
        <v>449</v>
      </c>
      <c r="D86" s="70"/>
      <c r="E86" s="71"/>
      <c r="F86" s="74" t="s">
        <v>285</v>
      </c>
      <c r="G86" s="88"/>
      <c r="H86" s="69" t="s">
        <v>465</v>
      </c>
      <c r="I86" s="79"/>
      <c r="J86" s="71"/>
      <c r="K86" s="74" t="s">
        <v>286</v>
      </c>
    </row>
    <row r="87" spans="2:11" ht="16.899999999999999" customHeight="1" x14ac:dyDescent="0.3">
      <c r="B87" s="88"/>
      <c r="C87" s="69" t="s">
        <v>450</v>
      </c>
      <c r="D87" s="70"/>
      <c r="E87" s="71"/>
      <c r="F87" s="74" t="s">
        <v>285</v>
      </c>
      <c r="G87" s="88"/>
      <c r="H87" s="69" t="s">
        <v>466</v>
      </c>
      <c r="I87" s="79"/>
      <c r="J87" s="71"/>
      <c r="K87" s="74" t="s">
        <v>286</v>
      </c>
    </row>
    <row r="88" spans="2:11" ht="16.899999999999999" customHeight="1" x14ac:dyDescent="0.3">
      <c r="B88" s="88"/>
      <c r="C88" s="69" t="s">
        <v>451</v>
      </c>
      <c r="D88" s="70"/>
      <c r="E88" s="71"/>
      <c r="F88" s="74" t="s">
        <v>285</v>
      </c>
      <c r="G88" s="88"/>
      <c r="H88" s="69" t="s">
        <v>467</v>
      </c>
      <c r="I88" s="70"/>
      <c r="J88" s="71"/>
      <c r="K88" s="74" t="s">
        <v>286</v>
      </c>
    </row>
    <row r="89" spans="2:11" ht="16.899999999999999" customHeight="1" x14ac:dyDescent="0.3">
      <c r="B89" s="88"/>
      <c r="C89" s="69" t="s">
        <v>452</v>
      </c>
      <c r="D89" s="70"/>
      <c r="E89" s="71"/>
      <c r="F89" s="74" t="s">
        <v>285</v>
      </c>
      <c r="G89" s="88"/>
      <c r="H89" s="69" t="s">
        <v>468</v>
      </c>
      <c r="I89" s="70"/>
      <c r="J89" s="71"/>
      <c r="K89" s="74" t="s">
        <v>286</v>
      </c>
    </row>
    <row r="90" spans="2:11" ht="16.899999999999999" customHeight="1" x14ac:dyDescent="0.3"/>
    <row r="91" spans="2:11" ht="16.899999999999999" customHeight="1" x14ac:dyDescent="0.3">
      <c r="B91" s="84" t="s">
        <v>233</v>
      </c>
      <c r="C91" s="69" t="s">
        <v>234</v>
      </c>
      <c r="D91" s="70" t="s">
        <v>433</v>
      </c>
      <c r="E91" s="71"/>
      <c r="F91" s="74" t="s">
        <v>238</v>
      </c>
      <c r="G91" s="84" t="s">
        <v>233</v>
      </c>
      <c r="H91" s="69" t="s">
        <v>469</v>
      </c>
      <c r="I91" s="70" t="s">
        <v>260</v>
      </c>
      <c r="J91" s="71"/>
      <c r="K91" s="74" t="s">
        <v>239</v>
      </c>
    </row>
    <row r="92" spans="2:11" ht="16.899999999999999" customHeight="1" x14ac:dyDescent="0.3">
      <c r="B92" s="85"/>
      <c r="C92" s="69" t="s">
        <v>235</v>
      </c>
      <c r="D92" s="70" t="s">
        <v>434</v>
      </c>
      <c r="E92" s="71"/>
      <c r="F92" s="74" t="s">
        <v>238</v>
      </c>
      <c r="G92" s="85"/>
      <c r="H92" s="69" t="s">
        <v>470</v>
      </c>
      <c r="I92" s="70" t="s">
        <v>261</v>
      </c>
      <c r="J92" s="71"/>
      <c r="K92" s="74"/>
    </row>
    <row r="93" spans="2:11" ht="16.899999999999999" customHeight="1" x14ac:dyDescent="0.3">
      <c r="B93" s="85"/>
      <c r="C93" s="69" t="s">
        <v>236</v>
      </c>
      <c r="D93" s="70" t="s">
        <v>435</v>
      </c>
      <c r="E93" s="71"/>
      <c r="F93" s="74" t="s">
        <v>238</v>
      </c>
      <c r="G93" s="85"/>
      <c r="H93" s="69" t="s">
        <v>471</v>
      </c>
      <c r="I93" s="70" t="s">
        <v>436</v>
      </c>
      <c r="J93" s="71"/>
      <c r="K93" s="74" t="s">
        <v>238</v>
      </c>
    </row>
    <row r="94" spans="2:11" ht="16.899999999999999" customHeight="1" x14ac:dyDescent="0.3">
      <c r="B94" s="86"/>
      <c r="C94" s="69" t="s">
        <v>237</v>
      </c>
      <c r="D94" s="70"/>
      <c r="E94" s="71"/>
      <c r="F94" s="74"/>
      <c r="G94" s="86"/>
      <c r="H94" s="69" t="s">
        <v>472</v>
      </c>
      <c r="I94" s="70"/>
      <c r="J94" s="71"/>
      <c r="K94" s="74"/>
    </row>
    <row r="96" spans="2:11" ht="16.899999999999999" customHeight="1" x14ac:dyDescent="0.3">
      <c r="B96" s="84" t="s">
        <v>233</v>
      </c>
      <c r="C96" s="69" t="s">
        <v>473</v>
      </c>
      <c r="D96" s="70" t="s">
        <v>240</v>
      </c>
      <c r="E96" s="71"/>
      <c r="F96" s="74" t="s">
        <v>239</v>
      </c>
      <c r="G96" s="84" t="s">
        <v>242</v>
      </c>
      <c r="H96" s="69" t="s">
        <v>477</v>
      </c>
      <c r="I96" s="70" t="s">
        <v>243</v>
      </c>
      <c r="J96" s="71"/>
      <c r="K96" s="74" t="s">
        <v>241</v>
      </c>
    </row>
    <row r="97" spans="2:11" ht="16.899999999999999" customHeight="1" x14ac:dyDescent="0.3">
      <c r="B97" s="85"/>
      <c r="C97" s="69" t="s">
        <v>474</v>
      </c>
      <c r="D97" s="70" t="s">
        <v>268</v>
      </c>
      <c r="E97" s="71"/>
      <c r="F97" s="74" t="s">
        <v>241</v>
      </c>
      <c r="G97" s="85"/>
      <c r="H97" s="69" t="s">
        <v>478</v>
      </c>
      <c r="I97" s="70"/>
      <c r="J97" s="71"/>
      <c r="K97" s="74"/>
    </row>
    <row r="98" spans="2:11" ht="16.899999999999999" customHeight="1" x14ac:dyDescent="0.3">
      <c r="B98" s="85"/>
      <c r="C98" s="69" t="s">
        <v>475</v>
      </c>
      <c r="D98" s="70"/>
      <c r="E98" s="71"/>
      <c r="F98" s="74"/>
      <c r="G98" s="85"/>
      <c r="H98" s="69" t="s">
        <v>479</v>
      </c>
      <c r="I98" s="70"/>
      <c r="J98" s="71"/>
      <c r="K98" s="74"/>
    </row>
    <row r="99" spans="2:11" ht="16.899999999999999" customHeight="1" x14ac:dyDescent="0.3">
      <c r="B99" s="86"/>
      <c r="C99" s="69" t="s">
        <v>476</v>
      </c>
      <c r="D99" s="70"/>
      <c r="E99" s="71"/>
      <c r="F99" s="74"/>
      <c r="G99" s="86"/>
      <c r="H99" s="69" t="s">
        <v>480</v>
      </c>
      <c r="I99" s="70"/>
      <c r="J99" s="71"/>
      <c r="K99" s="74"/>
    </row>
  </sheetData>
  <mergeCells count="14">
    <mergeCell ref="G91:G94"/>
    <mergeCell ref="B91:B94"/>
    <mergeCell ref="B96:B99"/>
    <mergeCell ref="G96:G99"/>
    <mergeCell ref="G5:G20"/>
    <mergeCell ref="G22:G37"/>
    <mergeCell ref="G39:G54"/>
    <mergeCell ref="G57:G72"/>
    <mergeCell ref="B5:B20"/>
    <mergeCell ref="B22:B37"/>
    <mergeCell ref="B39:B54"/>
    <mergeCell ref="B57:B72"/>
    <mergeCell ref="B74:B89"/>
    <mergeCell ref="G74:G8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History</vt:lpstr>
      <vt:lpstr>전기용량표</vt:lpstr>
      <vt:lpstr>PLC 구성도</vt:lpstr>
      <vt:lpstr>IO list</vt:lpstr>
      <vt:lpstr>전기용량표!Print_Area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 민혁</dc:creator>
  <cp:lastModifiedBy>최 준형</cp:lastModifiedBy>
  <dcterms:created xsi:type="dcterms:W3CDTF">2025-04-24T02:11:06Z</dcterms:created>
  <dcterms:modified xsi:type="dcterms:W3CDTF">2026-02-14T05:55:54Z</dcterms:modified>
</cp:coreProperties>
</file>